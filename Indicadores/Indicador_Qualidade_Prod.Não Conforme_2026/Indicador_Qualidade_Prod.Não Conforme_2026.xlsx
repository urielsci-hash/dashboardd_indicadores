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sinergiaagrobrasil.sharepoint.com/sites/GERAL/Documentos Partilhados/GERAL/SINERGIA_ISO9001/SINERGIA_Indicadores/INDICADORES 2026/"/>
    </mc:Choice>
  </mc:AlternateContent>
  <xr:revisionPtr revIDLastSave="141" documentId="13_ncr:1_{28BF065B-2BE7-4239-8931-5CF47A743566}" xr6:coauthVersionLast="47" xr6:coauthVersionMax="47" xr10:uidLastSave="{AFCF9756-E79C-4858-8AE3-E3CF4806E2A7}"/>
  <bookViews>
    <workbookView xWindow="-120" yWindow="-120" windowWidth="20730" windowHeight="11040" tabRatio="500" xr2:uid="{00000000-000D-0000-FFFF-FFFF00000000}"/>
  </bookViews>
  <sheets>
    <sheet name="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9" i="1" l="1"/>
  <c r="K14" i="1"/>
  <c r="K15" i="1"/>
  <c r="K16" i="1"/>
  <c r="E17" i="1"/>
  <c r="E18" i="1"/>
  <c r="E19" i="1"/>
  <c r="K20" i="1"/>
  <c r="E20" i="1"/>
  <c r="E21" i="1"/>
  <c r="E22" i="1" s="1"/>
  <c r="K17" i="1"/>
  <c r="E15" i="1"/>
  <c r="E14" i="1"/>
  <c r="K18" i="1"/>
  <c r="K21" i="1" l="1"/>
  <c r="K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tc={18E8023D-3EC7-465A-9643-E6B382B22CB4}</author>
  </authors>
  <commentList>
    <comment ref="L10" authorId="0" shapeId="0" xr:uid="{18E8023D-3EC7-465A-9643-E6B382B22CB4}">
      <text>
        <t>[Threaded comment]
Your version of Excel allows you to read this threaded comment; however, any edits to it will get removed if the file is opened in a newer version of Excel. Learn more: https://go.microsoft.com/fwlink/?linkid=870924
Comment:
    PERGUNTAR PRA DANI SE VAI ABRIR REPROCESSO DO QUEBEC 10L</t>
      </text>
    </comment>
  </commentList>
</comments>
</file>

<file path=xl/sharedStrings.xml><?xml version="1.0" encoding="utf-8"?>
<sst xmlns="http://schemas.openxmlformats.org/spreadsheetml/2006/main" count="61" uniqueCount="55">
  <si>
    <t>OBJETIVO</t>
  </si>
  <si>
    <t>META</t>
  </si>
  <si>
    <t>DADOS</t>
  </si>
  <si>
    <t xml:space="preserve">ACOMPANHAMENTO </t>
  </si>
  <si>
    <t>PRODUTO REPROCESSADO +  REFUGO</t>
  </si>
  <si>
    <r>
      <rPr>
        <u/>
        <sz val="13"/>
        <color theme="0"/>
        <rFont val="Calibri"/>
        <family val="2"/>
        <charset val="1"/>
      </rPr>
      <t>&lt;</t>
    </r>
    <r>
      <rPr>
        <sz val="13"/>
        <color theme="0"/>
        <rFont val="Calibri"/>
        <family val="2"/>
        <charset val="1"/>
      </rPr>
      <t xml:space="preserve"> 1% TOTAL REPROCESSO + TOTAL REFUGO / SEMESTRAL
</t>
    </r>
  </si>
  <si>
    <t>c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</si>
  <si>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</si>
  <si>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</si>
  <si>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</si>
  <si>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</si>
  <si>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</si>
  <si>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</si>
  <si>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</si>
  <si>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</si>
  <si>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</si>
  <si>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</si>
  <si>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</si>
  <si>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</si>
  <si>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Produção Mensal 
ENVASE (LTS)</t>
  </si>
  <si>
    <t>Produção Mensal 
FORMULAÇÃO (LTS)</t>
  </si>
  <si>
    <t>Produção Mensal ROT.ENCAIXOT.(KG)</t>
  </si>
  <si>
    <t>Qtde lts Refugo
ENVASE( LTS)</t>
  </si>
  <si>
    <t>Qtde lts. Refugo FORMULAÇÃO( LTS)</t>
  </si>
  <si>
    <t>Qtde KG Refugo 
ROT.ENCAIXOT.</t>
  </si>
  <si>
    <t>QTDE.(Lts) Reprocesso
ENVASE</t>
  </si>
  <si>
    <t>QTDE.(Lts) Reprocesso
FORMULAÇÃO</t>
  </si>
  <si>
    <t>QTDE.(KG) Reprocesso
ROT.ENCAIXOT.</t>
  </si>
  <si>
    <t>1º Semestre</t>
  </si>
  <si>
    <t>2º Semestre</t>
  </si>
  <si>
    <t>% REFUGO
 ENVASE</t>
  </si>
  <si>
    <t>% REFUGO 
FORMULAÇÃO</t>
  </si>
  <si>
    <t>%REFUGO 
ROTULAGEM |ENCAIXOTAMENTO</t>
  </si>
  <si>
    <t>%REPROCESSO  
ENVASE</t>
  </si>
  <si>
    <t>%REPROCESSO FORMULAÇÃO</t>
  </si>
  <si>
    <t>%REPROCESSO ROT.ENCAIXOTAMENTO</t>
  </si>
  <si>
    <t>%TOTAL REFUGO</t>
  </si>
  <si>
    <t>% TOTAL PRODUTO REPROCESSADO</t>
  </si>
  <si>
    <t>% REPROCESSO + REFUGO</t>
  </si>
  <si>
    <t>MÊS</t>
  </si>
  <si>
    <t>AÇÃO REALIZADA / OBSERVAÇÃO</t>
  </si>
  <si>
    <t>JANEIRO</t>
  </si>
  <si>
    <t>Sem Ação</t>
  </si>
  <si>
    <t>JULHO</t>
  </si>
  <si>
    <t>FEVEREIRO</t>
  </si>
  <si>
    <t>AGOSTO</t>
  </si>
  <si>
    <t>MARÇO</t>
  </si>
  <si>
    <t>SETEMBRO</t>
  </si>
  <si>
    <t>ABRIL</t>
  </si>
  <si>
    <t>OUTUBRO</t>
  </si>
  <si>
    <t>MAIO</t>
  </si>
  <si>
    <t>NOVEMBRO</t>
  </si>
  <si>
    <t>JUNHO</t>
  </si>
  <si>
    <t>Realizado reprocesso 0326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</si>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</sst>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14">
    <font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name val="Arial"/>
      <family val="2"/>
      <charset val="1"/>
    </font>
    <font>
      <sz val="13"/>
      <color theme="0"/>
      <name val="Calibri"/>
      <family val="2"/>
      <charset val="1"/>
    </font>
    <font>
      <u/>
      <sz val="13"/>
      <color theme="0"/>
      <name val="Calibri"/>
      <family val="2"/>
      <charset val="1"/>
    </font>
    <font>
      <sz val="9"/>
      <color theme="0"/>
      <name val="Arial"/>
      <family val="2"/>
      <charset val="1"/>
    </font>
    <font>
      <sz val="8"/>
      <color theme="0"/>
      <name val="Arial"/>
      <family val="2"/>
      <charset val="1"/>
    </font>
    <font>
      <sz val="8"/>
      <color theme="4"/>
      <name val="Calibri"/>
      <family val="2"/>
      <charset val="1"/>
    </font>
    <font>
      <sz val="9"/>
      <name val="Bahnschrift SemiBold Condensed"/>
      <family val="2"/>
      <charset val="1"/>
    </font>
    <font>
      <sz val="8"/>
      <color theme="0"/>
      <name val="Calibri"/>
      <family val="2"/>
      <charset val="1"/>
    </font>
    <font>
      <sz val="8"/>
      <name val="Bahnschrift SemiBold Condensed"/>
      <family val="2"/>
      <charset val="1"/>
    </font>
    <font>
      <b/>
      <sz val="11"/>
      <color theme="0"/>
      <name val="Calibri"/>
      <family val="2"/>
      <charset val="1"/>
    </font>
    <font>
      <sz val="12"/>
      <color theme="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4"/>
        <bgColor rgb="FF2E75B6"/>
      </patternFill>
    </fill>
    <fill>
      <patternFill patternType="solid">
        <fgColor rgb="FF00B0F0"/>
        <bgColor rgb="FF33CCCC"/>
      </patternFill>
    </fill>
    <fill>
      <patternFill patternType="solid">
        <fgColor theme="8" tint="-0.249977111117893"/>
        <bgColor rgb="FF4472C4"/>
      </patternFill>
    </fill>
    <fill>
      <patternFill patternType="solid">
        <fgColor theme="4" tint="0.79989013336588644"/>
        <bgColor rgb="FFDEEBF7"/>
      </patternFill>
    </fill>
    <fill>
      <patternFill patternType="solid">
        <fgColor theme="4" tint="-0.249977111117893"/>
        <bgColor rgb="FF2E75B6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000080"/>
      </patternFill>
    </fill>
    <fill>
      <patternFill patternType="solid">
        <fgColor theme="8" tint="0.79989013336588644"/>
        <bgColor rgb="FFDAE3F3"/>
      </patternFill>
    </fill>
    <fill>
      <patternFill patternType="solid">
        <fgColor theme="4" tint="0.39988402966399123"/>
        <bgColor rgb="FF969696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14999847407452621"/>
      </bottom>
      <diagonal/>
    </border>
    <border>
      <left/>
      <right/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3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0" xfId="0" applyFont="1" applyFill="1"/>
    <xf numFmtId="0" fontId="6" fillId="3" borderId="1" xfId="0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3" fillId="0" borderId="0" xfId="0" applyFont="1"/>
    <xf numFmtId="3" fontId="8" fillId="6" borderId="1" xfId="0" applyNumberFormat="1" applyFont="1" applyFill="1" applyBorder="1" applyAlignment="1">
      <alignment horizontal="left" wrapText="1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3" fontId="3" fillId="2" borderId="0" xfId="0" applyNumberFormat="1" applyFont="1" applyFill="1"/>
    <xf numFmtId="3" fontId="3" fillId="0" borderId="0" xfId="0" applyNumberFormat="1" applyFont="1"/>
    <xf numFmtId="3" fontId="10" fillId="4" borderId="1" xfId="0" applyNumberFormat="1" applyFont="1" applyFill="1" applyBorder="1" applyAlignment="1">
      <alignment horizontal="left" wrapText="1"/>
    </xf>
    <xf numFmtId="3" fontId="10" fillId="7" borderId="1" xfId="0" applyNumberFormat="1" applyFont="1" applyFill="1" applyBorder="1" applyAlignment="1">
      <alignment horizontal="left" vertical="center" wrapText="1"/>
    </xf>
    <xf numFmtId="3" fontId="10" fillId="7" borderId="5" xfId="0" applyNumberFormat="1" applyFont="1" applyFill="1" applyBorder="1" applyAlignment="1">
      <alignment horizontal="left" vertical="center" wrapText="1"/>
    </xf>
    <xf numFmtId="3" fontId="10" fillId="8" borderId="0" xfId="0" applyNumberFormat="1" applyFont="1" applyFill="1" applyAlignment="1">
      <alignment horizontal="left" vertical="center" wrapText="1"/>
    </xf>
    <xf numFmtId="2" fontId="3" fillId="2" borderId="0" xfId="0" applyNumberFormat="1" applyFont="1" applyFill="1"/>
    <xf numFmtId="2" fontId="10" fillId="9" borderId="7" xfId="0" applyNumberFormat="1" applyFont="1" applyFill="1" applyBorder="1" applyAlignment="1">
      <alignment horizontal="left" vertical="center" wrapText="1"/>
    </xf>
    <xf numFmtId="2" fontId="3" fillId="0" borderId="0" xfId="0" applyNumberFormat="1" applyFont="1"/>
    <xf numFmtId="2" fontId="10" fillId="5" borderId="10" xfId="0" applyNumberFormat="1" applyFont="1" applyFill="1" applyBorder="1" applyAlignment="1">
      <alignment horizontal="left" vertical="center" wrapText="1"/>
    </xf>
    <xf numFmtId="2" fontId="10" fillId="5" borderId="1" xfId="0" applyNumberFormat="1" applyFont="1" applyFill="1" applyBorder="1" applyAlignment="1">
      <alignment horizontal="left" vertical="center" wrapText="1"/>
    </xf>
    <xf numFmtId="2" fontId="10" fillId="11" borderId="1" xfId="0" applyNumberFormat="1" applyFont="1" applyFill="1" applyBorder="1" applyAlignment="1">
      <alignment horizontal="left" vertical="center" wrapText="1"/>
    </xf>
    <xf numFmtId="2" fontId="10" fillId="4" borderId="1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textRotation="90" wrapText="1"/>
    </xf>
    <xf numFmtId="0" fontId="5" fillId="5" borderId="3" xfId="0" applyFont="1" applyFill="1" applyBorder="1" applyAlignment="1">
      <alignment horizontal="center" vertical="center" textRotation="90" wrapText="1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0" fontId="11" fillId="10" borderId="8" xfId="0" applyNumberFormat="1" applyFont="1" applyFill="1" applyBorder="1" applyAlignment="1">
      <alignment horizontal="center" vertical="center"/>
    </xf>
    <xf numFmtId="10" fontId="11" fillId="10" borderId="7" xfId="0" applyNumberFormat="1" applyFont="1" applyFill="1" applyBorder="1" applyAlignment="1">
      <alignment horizontal="center" vertical="center"/>
    </xf>
    <xf numFmtId="10" fontId="11" fillId="10" borderId="9" xfId="0" applyNumberFormat="1" applyFont="1" applyFill="1" applyBorder="1" applyAlignment="1">
      <alignment horizontal="center" vertical="center"/>
    </xf>
    <xf numFmtId="10" fontId="11" fillId="10" borderId="15" xfId="0" applyNumberFormat="1" applyFont="1" applyFill="1" applyBorder="1" applyAlignment="1">
      <alignment horizontal="center" vertical="center"/>
    </xf>
    <xf numFmtId="10" fontId="11" fillId="10" borderId="6" xfId="0" applyNumberFormat="1" applyFont="1" applyFill="1" applyBorder="1" applyAlignment="1">
      <alignment horizontal="center" vertical="center"/>
    </xf>
    <xf numFmtId="10" fontId="11" fillId="10" borderId="16" xfId="0" applyNumberFormat="1" applyFont="1" applyFill="1" applyBorder="1" applyAlignment="1">
      <alignment horizontal="center" vertical="center"/>
    </xf>
    <xf numFmtId="10" fontId="11" fillId="10" borderId="1" xfId="0" applyNumberFormat="1" applyFont="1" applyFill="1" applyBorder="1" applyAlignment="1">
      <alignment horizontal="center" vertical="center"/>
    </xf>
    <xf numFmtId="10" fontId="11" fillId="10" borderId="3" xfId="0" applyNumberFormat="1" applyFont="1" applyFill="1" applyBorder="1" applyAlignment="1">
      <alignment horizontal="center" vertical="center"/>
    </xf>
    <xf numFmtId="10" fontId="11" fillId="10" borderId="4" xfId="0" applyNumberFormat="1" applyFont="1" applyFill="1" applyBorder="1" applyAlignment="1">
      <alignment horizontal="center" vertical="center"/>
    </xf>
    <xf numFmtId="10" fontId="11" fillId="10" borderId="11" xfId="0" applyNumberFormat="1" applyFont="1" applyFill="1" applyBorder="1" applyAlignment="1">
      <alignment horizontal="center" vertical="center"/>
    </xf>
    <xf numFmtId="10" fontId="11" fillId="10" borderId="12" xfId="0" applyNumberFormat="1" applyFont="1" applyFill="1" applyBorder="1" applyAlignment="1">
      <alignment horizontal="center" vertical="center"/>
    </xf>
    <xf numFmtId="10" fontId="11" fillId="10" borderId="13" xfId="0" applyNumberFormat="1" applyFont="1" applyFill="1" applyBorder="1" applyAlignment="1">
      <alignment horizontal="center" vertical="center"/>
    </xf>
    <xf numFmtId="10" fontId="11" fillId="10" borderId="14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/>
    </xf>
    <xf numFmtId="0" fontId="0" fillId="8" borderId="4" xfId="0" applyFill="1" applyBorder="1" applyAlignment="1" applyProtection="1">
      <alignment horizontal="left" vertical="center" wrapText="1"/>
      <protection locked="0"/>
    </xf>
    <xf numFmtId="0" fontId="0" fillId="8" borderId="4" xfId="0" applyFill="1" applyBorder="1" applyAlignment="1" applyProtection="1">
      <alignment horizontal="left" vertical="center"/>
      <protection locked="0"/>
    </xf>
    <xf numFmtId="0" fontId="0" fillId="8" borderId="4" xfId="0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8FAADC"/>
      <rgbColor rgb="FF993366"/>
      <rgbColor rgb="FFFFFFCC"/>
      <rgbColor rgb="FFDEEBF7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DA9E"/>
      <rgbColor rgb="FF99CCFF"/>
      <rgbColor rgb="FFFF99CC"/>
      <rgbColor rgb="FFCC99FF"/>
      <rgbColor rgb="FFFFD07C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300" b="1" u="none" strike="noStrike" spc="150">
                <a:solidFill>
                  <a:srgbClr val="000000"/>
                </a:solidFill>
                <a:uFillTx/>
                <a:latin typeface="Calibri"/>
              </a:rPr>
              <a:t>indicador _ qualidade_2026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100" b="1" u="none" strike="noStrike" spc="150">
                <a:solidFill>
                  <a:srgbClr val="000000"/>
                </a:solidFill>
                <a:uFillTx/>
                <a:latin typeface="Calibri"/>
              </a:rPr>
              <a:t>ObJEtivo: produto NÃO CONFORME(REFUGO+reprocesso) | meta: </a:t>
            </a:r>
            <a:r>
              <a:rPr lang="pt-BR" sz="1100" b="1" u="sng" strike="noStrike" spc="150">
                <a:solidFill>
                  <a:srgbClr val="000000"/>
                </a:solidFill>
                <a:uFillTx/>
                <a:latin typeface="Calibri"/>
              </a:rPr>
              <a:t>&lt;</a:t>
            </a:r>
            <a:r>
              <a:rPr lang="pt-BR" sz="1100" b="1" u="none" strike="noStrike" spc="150">
                <a:solidFill>
                  <a:srgbClr val="000000"/>
                </a:solidFill>
                <a:uFillTx/>
                <a:latin typeface="Calibri"/>
              </a:rPr>
              <a:t> 2 % / semestral </a:t>
            </a:r>
          </a:p>
        </c:rich>
      </c:tx>
      <c:layout>
        <c:manualLayout>
          <c:xMode val="edge"/>
          <c:yMode val="edge"/>
          <c:x val="0.15082644628099201"/>
          <c:y val="3.1808035714285698E-2"/>
        </c:manualLayout>
      </c:layout>
      <c:overlay val="0"/>
      <c:spPr>
        <a:gradFill>
          <a:gsLst>
            <a:gs pos="0">
              <a:srgbClr val="FFDA9E"/>
            </a:gs>
            <a:gs pos="50000">
              <a:srgbClr val="FFD590"/>
            </a:gs>
            <a:gs pos="100000">
              <a:srgbClr val="FFD07C"/>
            </a:gs>
          </a:gsLst>
          <a:lin ang="5400000"/>
        </a:gradFill>
        <a:ln w="6480">
          <a:solidFill>
            <a:srgbClr val="FFC000"/>
          </a:solidFill>
          <a:round/>
        </a:ln>
      </c:spPr>
    </c:title>
    <c:autoTitleDeleted val="0"/>
    <c:plotArea>
      <c:layout>
        <c:manualLayout>
          <c:layoutTarget val="inner"/>
          <c:xMode val="edge"/>
          <c:yMode val="edge"/>
          <c:x val="1.5098537825810599E-2"/>
          <c:y val="0.21746651785714299"/>
          <c:w val="0.96245232040686601"/>
          <c:h val="0.61250000000000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'2026'!$D$20</c:f>
              <c:strCache>
                <c:ptCount val="1"/>
                <c:pt idx="0">
                  <c:v>%TOTAL REFUGO</c:v>
                </c:pt>
              </c:strCache>
            </c:strRef>
          </c:tx>
          <c:spPr>
            <a:pattFill prst="ltHorz">
              <a:fgClr>
                <a:srgbClr val="70AD47"/>
              </a:fgClr>
              <a:bgClr>
                <a:srgbClr val="E2F0D9"/>
              </a:bgClr>
            </a:pattFill>
            <a:ln w="0">
              <a:noFill/>
            </a:ln>
          </c:spPr>
          <c:invertIfNegative val="0"/>
          <c:dLbls>
            <c:spPr>
              <a:solidFill>
                <a:srgbClr val="70AD47"/>
              </a:solidFill>
            </c:spPr>
            <c:txPr>
              <a:bodyPr rot="-5400000" wrap="square"/>
              <a:lstStyle/>
              <a:p>
                <a:pPr>
                  <a:defRPr sz="1000" b="0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('2026'!$E$13,'2026'!$K$13)</c:f>
              <c:strCache>
                <c:ptCount val="2"/>
                <c:pt idx="0">
                  <c:v>1º Semestre</c:v>
                </c:pt>
                <c:pt idx="1">
                  <c:v>2º Semestre</c:v>
                </c:pt>
              </c:strCache>
            </c:strRef>
          </c:cat>
          <c:val>
            <c:numRef>
              <c:f>('2026'!$E$20,'2026'!$K$20)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D-4BC8-89DF-C0D089815D54}"/>
            </c:ext>
          </c:extLst>
        </c:ser>
        <c:ser>
          <c:idx val="1"/>
          <c:order val="1"/>
          <c:tx>
            <c:strRef>
              <c:f>'2026'!$D$21</c:f>
              <c:strCache>
                <c:ptCount val="1"/>
                <c:pt idx="0">
                  <c:v>% TOTAL PRODUTO REPROCESSADO</c:v>
                </c:pt>
              </c:strCache>
            </c:strRef>
          </c:tx>
          <c:spPr>
            <a:pattFill prst="ltHorz">
              <a:fgClr>
                <a:srgbClr val="5B9BD5"/>
              </a:fgClr>
              <a:bgClr>
                <a:srgbClr val="DEEBF7"/>
              </a:bgClr>
            </a:pattFill>
            <a:ln w="0">
              <a:noFill/>
            </a:ln>
          </c:spPr>
          <c:invertIfNegative val="0"/>
          <c:dLbls>
            <c:spPr>
              <a:solidFill>
                <a:srgbClr val="4472C4"/>
              </a:solidFill>
            </c:spPr>
            <c:txPr>
              <a:bodyPr rot="-5400000" wrap="square"/>
              <a:lstStyle/>
              <a:p>
                <a:pPr>
                  <a:defRPr sz="1000" b="0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('2026'!$E$13,'2026'!$K$13)</c:f>
              <c:strCache>
                <c:ptCount val="2"/>
                <c:pt idx="0">
                  <c:v>1º Semestre</c:v>
                </c:pt>
                <c:pt idx="1">
                  <c:v>2º Semestre</c:v>
                </c:pt>
              </c:strCache>
            </c:strRef>
          </c:cat>
          <c:val>
            <c:numRef>
              <c:f>('2026'!$E$21,'2026'!$K$21)</c:f>
              <c:numCache>
                <c:formatCode>0.00%</c:formatCode>
                <c:ptCount val="2"/>
                <c:pt idx="0">
                  <c:v>7.9694506726036216E-3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9D-4BC8-89DF-C0D089815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31179"/>
        <c:axId val="99717571"/>
      </c:barChart>
      <c:lineChart>
        <c:grouping val="standard"/>
        <c:varyColors val="0"/>
        <c:ser>
          <c:idx val="2"/>
          <c:order val="2"/>
          <c:tx>
            <c:strRef>
              <c:f>'2026'!$D$22</c:f>
              <c:strCache>
                <c:ptCount val="1"/>
                <c:pt idx="0">
                  <c:v>% REPROCESSO + REFUGO</c:v>
                </c:pt>
              </c:strCache>
            </c:strRef>
          </c:tx>
          <c:spPr>
            <a:ln w="28440" cap="rnd">
              <a:solidFill>
                <a:srgbClr val="FFC000"/>
              </a:solidFill>
              <a:round/>
            </a:ln>
          </c:spPr>
          <c:marker>
            <c:symbol val="circle"/>
            <c:size val="6"/>
            <c:spPr>
              <a:solidFill>
                <a:srgbClr val="FFC000"/>
              </a:solidFill>
            </c:spPr>
          </c:marker>
          <c:dLbls>
            <c:spPr>
              <a:solidFill>
                <a:srgbClr val="FFC000"/>
              </a:solidFill>
            </c:spPr>
            <c:txPr>
              <a:bodyPr wrap="square"/>
              <a:lstStyle/>
              <a:p>
                <a:pPr>
                  <a:defRPr sz="13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('2026'!$E$13,'2026'!$K$13)</c:f>
              <c:strCache>
                <c:ptCount val="2"/>
                <c:pt idx="0">
                  <c:v>1º Semestre</c:v>
                </c:pt>
                <c:pt idx="1">
                  <c:v>2º Semestre</c:v>
                </c:pt>
              </c:strCache>
            </c:strRef>
          </c:cat>
          <c:val>
            <c:numRef>
              <c:f>('2026'!$E$22,'2026'!$K$22)</c:f>
              <c:numCache>
                <c:formatCode>0.00%</c:formatCode>
                <c:ptCount val="2"/>
                <c:pt idx="0">
                  <c:v>7.9694506726036216E-3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9D-4BC8-89DF-C0D089815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931179"/>
        <c:axId val="99717571"/>
      </c:lineChart>
      <c:catAx>
        <c:axId val="259311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99717571"/>
        <c:crosses val="autoZero"/>
        <c:auto val="1"/>
        <c:lblAlgn val="ctr"/>
        <c:lblOffset val="100"/>
        <c:noMultiLvlLbl val="0"/>
      </c:catAx>
      <c:valAx>
        <c:axId val="99717571"/>
        <c:scaling>
          <c:orientation val="minMax"/>
        </c:scaling>
        <c:delete val="1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crossAx val="25931179"/>
        <c:crosses val="autoZero"/>
        <c:crossBetween val="between"/>
      </c:valAx>
      <c:spPr>
        <a:noFill/>
        <a:ln w="0">
          <a:noFill/>
        </a:ln>
      </c:spPr>
    </c:plotArea>
    <c:legend>
      <c:legendPos val="t"/>
      <c:layout>
        <c:manualLayout>
          <c:xMode val="edge"/>
          <c:yMode val="edge"/>
          <c:x val="1.6719300461773799E-2"/>
          <c:y val="0.92229457035476703"/>
          <c:w val="0.969413336701896"/>
          <c:h val="6.3990201006174696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21240</xdr:colOff>
      <xdr:row>1</xdr:row>
      <xdr:rowOff>13680</xdr:rowOff>
    </xdr:from>
    <xdr:to>
      <xdr:col>20</xdr:col>
      <xdr:colOff>69480</xdr:colOff>
      <xdr:row>22</xdr:row>
      <xdr:rowOff>74520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manda - Qualidade (Sinergia Agro)" id="{A803E1A0-AC0D-41D7-8EE0-E77AFA81BA6C}" userId="S::amanda@sinergia-agro.com.br::1f172315-229f-4244-b38b-a71929465d3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6-09-03T19:14:53.77" personId="{A803E1A0-AC0D-41D7-8EE0-E77AFA81BA6C}" id="{18E8023D-3EC7-465A-9643-E6B382B22CB4}">
    <text>PERGUNTAR PRA DANI SE VAI ABRIR REPROCESSO DO QUEBEC 10L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B31"/>
  <sheetViews>
    <sheetView tabSelected="1" topLeftCell="B1" zoomScaleNormal="100" workbookViewId="0">
      <selection activeCell="L10" sqref="L10"/>
    </sheetView>
  </sheetViews>
  <sheetFormatPr defaultColWidth="9.140625" defaultRowHeight="15" customHeight="1" zeroHeight="1"/>
  <cols>
    <col min="1" max="1" width="3" customWidth="1"/>
    <col min="2" max="3" width="11.5703125" customWidth="1"/>
    <col min="4" max="4" width="23.140625" style="3" customWidth="1"/>
    <col min="5" max="5" width="7.7109375" style="4" customWidth="1"/>
    <col min="6" max="6" width="7.28515625" style="4" customWidth="1"/>
    <col min="7" max="8" width="7" style="4" customWidth="1"/>
    <col min="9" max="9" width="7.28515625" style="4" customWidth="1"/>
    <col min="10" max="10" width="7" style="4" customWidth="1"/>
    <col min="11" max="11" width="7.28515625" style="4" customWidth="1"/>
    <col min="12" max="12" width="7.7109375" style="4" customWidth="1"/>
    <col min="13" max="13" width="7.28515625" style="4" customWidth="1"/>
    <col min="14" max="14" width="8.7109375" style="4" customWidth="1"/>
    <col min="15" max="15" width="7.42578125" style="4" customWidth="1"/>
    <col min="16" max="16" width="7.7109375" style="4" customWidth="1"/>
    <col min="17" max="17" width="1.5703125" customWidth="1"/>
    <col min="18" max="18" width="27.140625" customWidth="1"/>
    <col min="19" max="19" width="59.7109375" customWidth="1"/>
    <col min="20" max="20" width="41" customWidth="1"/>
    <col min="21" max="21" width="1.5703125" customWidth="1"/>
    <col min="22" max="262" width="9.140625" hidden="1"/>
    <col min="263" max="263" width="19.140625" hidden="1" customWidth="1"/>
    <col min="264" max="267" width="9.7109375" hidden="1" customWidth="1"/>
    <col min="268" max="268" width="9.140625" hidden="1"/>
    <col min="269" max="269" width="9.7109375" hidden="1" customWidth="1"/>
    <col min="270" max="270" width="9.28515625" hidden="1" customWidth="1"/>
    <col min="271" max="271" width="9.140625" hidden="1"/>
    <col min="272" max="272" width="10.28515625" hidden="1" customWidth="1"/>
    <col min="273" max="273" width="10.5703125" hidden="1" customWidth="1"/>
    <col min="274" max="274" width="11.28515625" hidden="1" customWidth="1"/>
    <col min="275" max="275" width="10.28515625" hidden="1" customWidth="1"/>
    <col min="276" max="518" width="9.140625" hidden="1"/>
    <col min="519" max="519" width="19.140625" hidden="1" customWidth="1"/>
    <col min="520" max="523" width="9.7109375" hidden="1" customWidth="1"/>
    <col min="524" max="524" width="9.140625" hidden="1"/>
    <col min="525" max="525" width="9.7109375" hidden="1" customWidth="1"/>
    <col min="526" max="526" width="9.28515625" hidden="1" customWidth="1"/>
    <col min="527" max="527" width="9.140625" hidden="1"/>
    <col min="528" max="528" width="10.28515625" hidden="1" customWidth="1"/>
    <col min="529" max="529" width="10.5703125" hidden="1" customWidth="1"/>
    <col min="530" max="530" width="11.28515625" hidden="1" customWidth="1"/>
    <col min="531" max="531" width="10.28515625" hidden="1" customWidth="1"/>
    <col min="532" max="774" width="9.140625" hidden="1"/>
    <col min="775" max="775" width="19.140625" hidden="1" customWidth="1"/>
    <col min="776" max="779" width="9.7109375" hidden="1" customWidth="1"/>
    <col min="780" max="780" width="9.140625" hidden="1"/>
    <col min="781" max="781" width="9.7109375" hidden="1" customWidth="1"/>
    <col min="782" max="782" width="9.28515625" hidden="1" customWidth="1"/>
    <col min="783" max="783" width="9.140625" hidden="1"/>
    <col min="784" max="784" width="10.28515625" hidden="1" customWidth="1"/>
    <col min="785" max="785" width="10.5703125" hidden="1" customWidth="1"/>
    <col min="786" max="786" width="11.28515625" hidden="1" customWidth="1"/>
    <col min="787" max="787" width="10.28515625" hidden="1" customWidth="1"/>
    <col min="788" max="1030" width="9.140625" hidden="1"/>
    <col min="1031" max="1031" width="19.140625" hidden="1" customWidth="1"/>
    <col min="1032" max="1035" width="9.7109375" hidden="1" customWidth="1"/>
    <col min="1036" max="1036" width="9.140625" hidden="1"/>
    <col min="1037" max="1037" width="9.7109375" hidden="1" customWidth="1"/>
    <col min="1038" max="1038" width="9.28515625" hidden="1" customWidth="1"/>
    <col min="1039" max="1039" width="9.140625" hidden="1"/>
    <col min="1040" max="1040" width="10.28515625" hidden="1" customWidth="1"/>
    <col min="1041" max="1041" width="10.5703125" hidden="1" customWidth="1"/>
    <col min="1042" max="1042" width="11.28515625" hidden="1" customWidth="1"/>
    <col min="1043" max="1043" width="10.28515625" hidden="1" customWidth="1"/>
    <col min="1044" max="1286" width="9.140625" hidden="1"/>
    <col min="1287" max="1287" width="19.140625" hidden="1" customWidth="1"/>
    <col min="1288" max="1291" width="9.7109375" hidden="1" customWidth="1"/>
    <col min="1292" max="1292" width="9.140625" hidden="1"/>
    <col min="1293" max="1293" width="9.7109375" hidden="1" customWidth="1"/>
    <col min="1294" max="1294" width="9.28515625" hidden="1" customWidth="1"/>
    <col min="1295" max="1295" width="9.140625" hidden="1"/>
    <col min="1296" max="1296" width="10.28515625" hidden="1" customWidth="1"/>
    <col min="1297" max="1297" width="10.5703125" hidden="1" customWidth="1"/>
    <col min="1298" max="1298" width="11.28515625" hidden="1" customWidth="1"/>
    <col min="1299" max="1299" width="10.28515625" hidden="1" customWidth="1"/>
    <col min="1300" max="1542" width="9.140625" hidden="1"/>
    <col min="1543" max="1543" width="19.140625" hidden="1" customWidth="1"/>
    <col min="1544" max="1547" width="9.7109375" hidden="1" customWidth="1"/>
    <col min="1548" max="1548" width="9.140625" hidden="1"/>
    <col min="1549" max="1549" width="9.7109375" hidden="1" customWidth="1"/>
    <col min="1550" max="1550" width="9.28515625" hidden="1" customWidth="1"/>
    <col min="1551" max="1551" width="9.140625" hidden="1"/>
    <col min="1552" max="1552" width="10.28515625" hidden="1" customWidth="1"/>
    <col min="1553" max="1553" width="10.5703125" hidden="1" customWidth="1"/>
    <col min="1554" max="1554" width="11.28515625" hidden="1" customWidth="1"/>
    <col min="1555" max="1555" width="10.28515625" hidden="1" customWidth="1"/>
    <col min="1556" max="1798" width="9.140625" hidden="1"/>
    <col min="1799" max="1799" width="19.140625" hidden="1" customWidth="1"/>
    <col min="1800" max="1803" width="9.7109375" hidden="1" customWidth="1"/>
    <col min="1804" max="1804" width="9.140625" hidden="1"/>
    <col min="1805" max="1805" width="9.7109375" hidden="1" customWidth="1"/>
    <col min="1806" max="1806" width="9.28515625" hidden="1" customWidth="1"/>
    <col min="1807" max="1807" width="9.140625" hidden="1"/>
    <col min="1808" max="1808" width="10.28515625" hidden="1" customWidth="1"/>
    <col min="1809" max="1809" width="10.5703125" hidden="1" customWidth="1"/>
    <col min="1810" max="1810" width="11.28515625" hidden="1" customWidth="1"/>
    <col min="1811" max="1811" width="10.28515625" hidden="1" customWidth="1"/>
    <col min="1812" max="2054" width="9.140625" hidden="1"/>
    <col min="2055" max="2055" width="19.140625" hidden="1" customWidth="1"/>
    <col min="2056" max="2059" width="9.7109375" hidden="1" customWidth="1"/>
    <col min="2060" max="2060" width="9.140625" hidden="1"/>
    <col min="2061" max="2061" width="9.7109375" hidden="1" customWidth="1"/>
    <col min="2062" max="2062" width="9.28515625" hidden="1" customWidth="1"/>
    <col min="2063" max="2063" width="9.140625" hidden="1"/>
    <col min="2064" max="2064" width="10.28515625" hidden="1" customWidth="1"/>
    <col min="2065" max="2065" width="10.5703125" hidden="1" customWidth="1"/>
    <col min="2066" max="2066" width="11.28515625" hidden="1" customWidth="1"/>
    <col min="2067" max="2067" width="10.28515625" hidden="1" customWidth="1"/>
    <col min="2068" max="2310" width="9.140625" hidden="1"/>
    <col min="2311" max="2311" width="19.140625" hidden="1" customWidth="1"/>
    <col min="2312" max="2315" width="9.7109375" hidden="1" customWidth="1"/>
    <col min="2316" max="2316" width="9.140625" hidden="1"/>
    <col min="2317" max="2317" width="9.7109375" hidden="1" customWidth="1"/>
    <col min="2318" max="2318" width="9.28515625" hidden="1" customWidth="1"/>
    <col min="2319" max="2319" width="9.140625" hidden="1"/>
    <col min="2320" max="2320" width="10.28515625" hidden="1" customWidth="1"/>
    <col min="2321" max="2321" width="10.5703125" hidden="1" customWidth="1"/>
    <col min="2322" max="2322" width="11.28515625" hidden="1" customWidth="1"/>
    <col min="2323" max="2323" width="10.28515625" hidden="1" customWidth="1"/>
    <col min="2324" max="2566" width="9.140625" hidden="1"/>
    <col min="2567" max="2567" width="19.140625" hidden="1" customWidth="1"/>
    <col min="2568" max="2571" width="9.7109375" hidden="1" customWidth="1"/>
    <col min="2572" max="2572" width="9.140625" hidden="1"/>
    <col min="2573" max="2573" width="9.7109375" hidden="1" customWidth="1"/>
    <col min="2574" max="2574" width="9.28515625" hidden="1" customWidth="1"/>
    <col min="2575" max="2575" width="9.140625" hidden="1"/>
    <col min="2576" max="2576" width="10.28515625" hidden="1" customWidth="1"/>
    <col min="2577" max="2577" width="10.5703125" hidden="1" customWidth="1"/>
    <col min="2578" max="2578" width="11.28515625" hidden="1" customWidth="1"/>
    <col min="2579" max="2579" width="10.28515625" hidden="1" customWidth="1"/>
    <col min="2580" max="2822" width="9.140625" hidden="1"/>
    <col min="2823" max="2823" width="19.140625" hidden="1" customWidth="1"/>
    <col min="2824" max="2827" width="9.7109375" hidden="1" customWidth="1"/>
    <col min="2828" max="2828" width="9.140625" hidden="1"/>
    <col min="2829" max="2829" width="9.7109375" hidden="1" customWidth="1"/>
    <col min="2830" max="2830" width="9.28515625" hidden="1" customWidth="1"/>
    <col min="2831" max="2831" width="9.140625" hidden="1"/>
    <col min="2832" max="2832" width="10.28515625" hidden="1" customWidth="1"/>
    <col min="2833" max="2833" width="10.5703125" hidden="1" customWidth="1"/>
    <col min="2834" max="2834" width="11.28515625" hidden="1" customWidth="1"/>
    <col min="2835" max="2835" width="10.28515625" hidden="1" customWidth="1"/>
    <col min="2836" max="3078" width="9.140625" hidden="1"/>
    <col min="3079" max="3079" width="19.140625" hidden="1" customWidth="1"/>
    <col min="3080" max="3083" width="9.7109375" hidden="1" customWidth="1"/>
    <col min="3084" max="3084" width="9.140625" hidden="1"/>
    <col min="3085" max="3085" width="9.7109375" hidden="1" customWidth="1"/>
    <col min="3086" max="3086" width="9.28515625" hidden="1" customWidth="1"/>
    <col min="3087" max="3087" width="9.140625" hidden="1"/>
    <col min="3088" max="3088" width="10.28515625" hidden="1" customWidth="1"/>
    <col min="3089" max="3089" width="10.5703125" hidden="1" customWidth="1"/>
    <col min="3090" max="3090" width="11.28515625" hidden="1" customWidth="1"/>
    <col min="3091" max="3091" width="10.28515625" hidden="1" customWidth="1"/>
    <col min="3092" max="3334" width="9.140625" hidden="1"/>
    <col min="3335" max="3335" width="19.140625" hidden="1" customWidth="1"/>
    <col min="3336" max="3339" width="9.7109375" hidden="1" customWidth="1"/>
    <col min="3340" max="3340" width="9.140625" hidden="1"/>
    <col min="3341" max="3341" width="9.7109375" hidden="1" customWidth="1"/>
    <col min="3342" max="3342" width="9.28515625" hidden="1" customWidth="1"/>
    <col min="3343" max="3343" width="9.140625" hidden="1"/>
    <col min="3344" max="3344" width="10.28515625" hidden="1" customWidth="1"/>
    <col min="3345" max="3345" width="10.5703125" hidden="1" customWidth="1"/>
    <col min="3346" max="3346" width="11.28515625" hidden="1" customWidth="1"/>
    <col min="3347" max="3347" width="10.28515625" hidden="1" customWidth="1"/>
    <col min="3348" max="3590" width="9.140625" hidden="1"/>
    <col min="3591" max="3591" width="19.140625" hidden="1" customWidth="1"/>
    <col min="3592" max="3595" width="9.7109375" hidden="1" customWidth="1"/>
    <col min="3596" max="3596" width="9.140625" hidden="1"/>
    <col min="3597" max="3597" width="9.7109375" hidden="1" customWidth="1"/>
    <col min="3598" max="3598" width="9.28515625" hidden="1" customWidth="1"/>
    <col min="3599" max="3599" width="9.140625" hidden="1"/>
    <col min="3600" max="3600" width="10.28515625" hidden="1" customWidth="1"/>
    <col min="3601" max="3601" width="10.5703125" hidden="1" customWidth="1"/>
    <col min="3602" max="3602" width="11.28515625" hidden="1" customWidth="1"/>
    <col min="3603" max="3603" width="10.28515625" hidden="1" customWidth="1"/>
    <col min="3604" max="3846" width="9.140625" hidden="1"/>
    <col min="3847" max="3847" width="19.140625" hidden="1" customWidth="1"/>
    <col min="3848" max="3851" width="9.7109375" hidden="1" customWidth="1"/>
    <col min="3852" max="3852" width="9.140625" hidden="1"/>
    <col min="3853" max="3853" width="9.7109375" hidden="1" customWidth="1"/>
    <col min="3854" max="3854" width="9.28515625" hidden="1" customWidth="1"/>
    <col min="3855" max="3855" width="9.140625" hidden="1"/>
    <col min="3856" max="3856" width="10.28515625" hidden="1" customWidth="1"/>
    <col min="3857" max="3857" width="10.5703125" hidden="1" customWidth="1"/>
    <col min="3858" max="3858" width="11.28515625" hidden="1" customWidth="1"/>
    <col min="3859" max="3859" width="10.28515625" hidden="1" customWidth="1"/>
    <col min="3860" max="4102" width="9.140625" hidden="1"/>
    <col min="4103" max="4103" width="19.140625" hidden="1" customWidth="1"/>
    <col min="4104" max="4107" width="9.7109375" hidden="1" customWidth="1"/>
    <col min="4108" max="4108" width="9.140625" hidden="1"/>
    <col min="4109" max="4109" width="9.7109375" hidden="1" customWidth="1"/>
    <col min="4110" max="4110" width="9.28515625" hidden="1" customWidth="1"/>
    <col min="4111" max="4111" width="9.140625" hidden="1"/>
    <col min="4112" max="4112" width="10.28515625" hidden="1" customWidth="1"/>
    <col min="4113" max="4113" width="10.5703125" hidden="1" customWidth="1"/>
    <col min="4114" max="4114" width="11.28515625" hidden="1" customWidth="1"/>
    <col min="4115" max="4115" width="10.28515625" hidden="1" customWidth="1"/>
    <col min="4116" max="4358" width="9.140625" hidden="1"/>
    <col min="4359" max="4359" width="19.140625" hidden="1" customWidth="1"/>
    <col min="4360" max="4363" width="9.7109375" hidden="1" customWidth="1"/>
    <col min="4364" max="4364" width="9.140625" hidden="1"/>
    <col min="4365" max="4365" width="9.7109375" hidden="1" customWidth="1"/>
    <col min="4366" max="4366" width="9.28515625" hidden="1" customWidth="1"/>
    <col min="4367" max="4367" width="9.140625" hidden="1"/>
    <col min="4368" max="4368" width="10.28515625" hidden="1" customWidth="1"/>
    <col min="4369" max="4369" width="10.5703125" hidden="1" customWidth="1"/>
    <col min="4370" max="4370" width="11.28515625" hidden="1" customWidth="1"/>
    <col min="4371" max="4371" width="10.28515625" hidden="1" customWidth="1"/>
    <col min="4372" max="4614" width="9.140625" hidden="1"/>
    <col min="4615" max="4615" width="19.140625" hidden="1" customWidth="1"/>
    <col min="4616" max="4619" width="9.7109375" hidden="1" customWidth="1"/>
    <col min="4620" max="4620" width="9.140625" hidden="1"/>
    <col min="4621" max="4621" width="9.7109375" hidden="1" customWidth="1"/>
    <col min="4622" max="4622" width="9.28515625" hidden="1" customWidth="1"/>
    <col min="4623" max="4623" width="9.140625" hidden="1"/>
    <col min="4624" max="4624" width="10.28515625" hidden="1" customWidth="1"/>
    <col min="4625" max="4625" width="10.5703125" hidden="1" customWidth="1"/>
    <col min="4626" max="4626" width="11.28515625" hidden="1" customWidth="1"/>
    <col min="4627" max="4627" width="10.28515625" hidden="1" customWidth="1"/>
    <col min="4628" max="4870" width="9.140625" hidden="1"/>
    <col min="4871" max="4871" width="19.140625" hidden="1" customWidth="1"/>
    <col min="4872" max="4875" width="9.7109375" hidden="1" customWidth="1"/>
    <col min="4876" max="4876" width="9.140625" hidden="1"/>
    <col min="4877" max="4877" width="9.7109375" hidden="1" customWidth="1"/>
    <col min="4878" max="4878" width="9.28515625" hidden="1" customWidth="1"/>
    <col min="4879" max="4879" width="9.140625" hidden="1"/>
    <col min="4880" max="4880" width="10.28515625" hidden="1" customWidth="1"/>
    <col min="4881" max="4881" width="10.5703125" hidden="1" customWidth="1"/>
    <col min="4882" max="4882" width="11.28515625" hidden="1" customWidth="1"/>
    <col min="4883" max="4883" width="10.28515625" hidden="1" customWidth="1"/>
    <col min="4884" max="5126" width="9.140625" hidden="1"/>
    <col min="5127" max="5127" width="19.140625" hidden="1" customWidth="1"/>
    <col min="5128" max="5131" width="9.7109375" hidden="1" customWidth="1"/>
    <col min="5132" max="5132" width="9.140625" hidden="1"/>
    <col min="5133" max="5133" width="9.7109375" hidden="1" customWidth="1"/>
    <col min="5134" max="5134" width="9.28515625" hidden="1" customWidth="1"/>
    <col min="5135" max="5135" width="9.140625" hidden="1"/>
    <col min="5136" max="5136" width="10.28515625" hidden="1" customWidth="1"/>
    <col min="5137" max="5137" width="10.5703125" hidden="1" customWidth="1"/>
    <col min="5138" max="5138" width="11.28515625" hidden="1" customWidth="1"/>
    <col min="5139" max="5139" width="10.28515625" hidden="1" customWidth="1"/>
    <col min="5140" max="5382" width="9.140625" hidden="1"/>
    <col min="5383" max="5383" width="19.140625" hidden="1" customWidth="1"/>
    <col min="5384" max="5387" width="9.7109375" hidden="1" customWidth="1"/>
    <col min="5388" max="5388" width="9.140625" hidden="1"/>
    <col min="5389" max="5389" width="9.7109375" hidden="1" customWidth="1"/>
    <col min="5390" max="5390" width="9.28515625" hidden="1" customWidth="1"/>
    <col min="5391" max="5391" width="9.140625" hidden="1"/>
    <col min="5392" max="5392" width="10.28515625" hidden="1" customWidth="1"/>
    <col min="5393" max="5393" width="10.5703125" hidden="1" customWidth="1"/>
    <col min="5394" max="5394" width="11.28515625" hidden="1" customWidth="1"/>
    <col min="5395" max="5395" width="10.28515625" hidden="1" customWidth="1"/>
    <col min="5396" max="5638" width="9.140625" hidden="1"/>
    <col min="5639" max="5639" width="19.140625" hidden="1" customWidth="1"/>
    <col min="5640" max="5643" width="9.7109375" hidden="1" customWidth="1"/>
    <col min="5644" max="5644" width="9.140625" hidden="1"/>
    <col min="5645" max="5645" width="9.7109375" hidden="1" customWidth="1"/>
    <col min="5646" max="5646" width="9.28515625" hidden="1" customWidth="1"/>
    <col min="5647" max="5647" width="9.140625" hidden="1"/>
    <col min="5648" max="5648" width="10.28515625" hidden="1" customWidth="1"/>
    <col min="5649" max="5649" width="10.5703125" hidden="1" customWidth="1"/>
    <col min="5650" max="5650" width="11.28515625" hidden="1" customWidth="1"/>
    <col min="5651" max="5651" width="10.28515625" hidden="1" customWidth="1"/>
    <col min="5652" max="5894" width="9.140625" hidden="1"/>
    <col min="5895" max="5895" width="19.140625" hidden="1" customWidth="1"/>
    <col min="5896" max="5899" width="9.7109375" hidden="1" customWidth="1"/>
    <col min="5900" max="5900" width="9.140625" hidden="1"/>
    <col min="5901" max="5901" width="9.7109375" hidden="1" customWidth="1"/>
    <col min="5902" max="5902" width="9.28515625" hidden="1" customWidth="1"/>
    <col min="5903" max="5903" width="9.140625" hidden="1"/>
    <col min="5904" max="5904" width="10.28515625" hidden="1" customWidth="1"/>
    <col min="5905" max="5905" width="10.5703125" hidden="1" customWidth="1"/>
    <col min="5906" max="5906" width="11.28515625" hidden="1" customWidth="1"/>
    <col min="5907" max="5907" width="10.28515625" hidden="1" customWidth="1"/>
    <col min="5908" max="6150" width="9.140625" hidden="1"/>
    <col min="6151" max="6151" width="19.140625" hidden="1" customWidth="1"/>
    <col min="6152" max="6155" width="9.7109375" hidden="1" customWidth="1"/>
    <col min="6156" max="6156" width="9.140625" hidden="1"/>
    <col min="6157" max="6157" width="9.7109375" hidden="1" customWidth="1"/>
    <col min="6158" max="6158" width="9.28515625" hidden="1" customWidth="1"/>
    <col min="6159" max="6159" width="9.140625" hidden="1"/>
    <col min="6160" max="6160" width="10.28515625" hidden="1" customWidth="1"/>
    <col min="6161" max="6161" width="10.5703125" hidden="1" customWidth="1"/>
    <col min="6162" max="6162" width="11.28515625" hidden="1" customWidth="1"/>
    <col min="6163" max="6163" width="10.28515625" hidden="1" customWidth="1"/>
    <col min="6164" max="6406" width="9.140625" hidden="1"/>
    <col min="6407" max="6407" width="19.140625" hidden="1" customWidth="1"/>
    <col min="6408" max="6411" width="9.7109375" hidden="1" customWidth="1"/>
    <col min="6412" max="6412" width="9.140625" hidden="1"/>
    <col min="6413" max="6413" width="9.7109375" hidden="1" customWidth="1"/>
    <col min="6414" max="6414" width="9.28515625" hidden="1" customWidth="1"/>
    <col min="6415" max="6415" width="9.140625" hidden="1"/>
    <col min="6416" max="6416" width="10.28515625" hidden="1" customWidth="1"/>
    <col min="6417" max="6417" width="10.5703125" hidden="1" customWidth="1"/>
    <col min="6418" max="6418" width="11.28515625" hidden="1" customWidth="1"/>
    <col min="6419" max="6419" width="10.28515625" hidden="1" customWidth="1"/>
    <col min="6420" max="6662" width="9.140625" hidden="1"/>
    <col min="6663" max="6663" width="19.140625" hidden="1" customWidth="1"/>
    <col min="6664" max="6667" width="9.7109375" hidden="1" customWidth="1"/>
    <col min="6668" max="6668" width="9.140625" hidden="1"/>
    <col min="6669" max="6669" width="9.7109375" hidden="1" customWidth="1"/>
    <col min="6670" max="6670" width="9.28515625" hidden="1" customWidth="1"/>
    <col min="6671" max="6671" width="9.140625" hidden="1"/>
    <col min="6672" max="6672" width="10.28515625" hidden="1" customWidth="1"/>
    <col min="6673" max="6673" width="10.5703125" hidden="1" customWidth="1"/>
    <col min="6674" max="6674" width="11.28515625" hidden="1" customWidth="1"/>
    <col min="6675" max="6675" width="10.28515625" hidden="1" customWidth="1"/>
    <col min="6676" max="6918" width="9.140625" hidden="1"/>
    <col min="6919" max="6919" width="19.140625" hidden="1" customWidth="1"/>
    <col min="6920" max="6923" width="9.7109375" hidden="1" customWidth="1"/>
    <col min="6924" max="6924" width="9.140625" hidden="1"/>
    <col min="6925" max="6925" width="9.7109375" hidden="1" customWidth="1"/>
    <col min="6926" max="6926" width="9.28515625" hidden="1" customWidth="1"/>
    <col min="6927" max="6927" width="9.140625" hidden="1"/>
    <col min="6928" max="6928" width="10.28515625" hidden="1" customWidth="1"/>
    <col min="6929" max="6929" width="10.5703125" hidden="1" customWidth="1"/>
    <col min="6930" max="6930" width="11.28515625" hidden="1" customWidth="1"/>
    <col min="6931" max="6931" width="10.28515625" hidden="1" customWidth="1"/>
    <col min="6932" max="7174" width="9.140625" hidden="1"/>
    <col min="7175" max="7175" width="19.140625" hidden="1" customWidth="1"/>
    <col min="7176" max="7179" width="9.7109375" hidden="1" customWidth="1"/>
    <col min="7180" max="7180" width="9.140625" hidden="1"/>
    <col min="7181" max="7181" width="9.7109375" hidden="1" customWidth="1"/>
    <col min="7182" max="7182" width="9.28515625" hidden="1" customWidth="1"/>
    <col min="7183" max="7183" width="9.140625" hidden="1"/>
    <col min="7184" max="7184" width="10.28515625" hidden="1" customWidth="1"/>
    <col min="7185" max="7185" width="10.5703125" hidden="1" customWidth="1"/>
    <col min="7186" max="7186" width="11.28515625" hidden="1" customWidth="1"/>
    <col min="7187" max="7187" width="10.28515625" hidden="1" customWidth="1"/>
    <col min="7188" max="7430" width="9.140625" hidden="1"/>
    <col min="7431" max="7431" width="19.140625" hidden="1" customWidth="1"/>
    <col min="7432" max="7435" width="9.7109375" hidden="1" customWidth="1"/>
    <col min="7436" max="7436" width="9.140625" hidden="1"/>
    <col min="7437" max="7437" width="9.7109375" hidden="1" customWidth="1"/>
    <col min="7438" max="7438" width="9.28515625" hidden="1" customWidth="1"/>
    <col min="7439" max="7439" width="9.140625" hidden="1"/>
    <col min="7440" max="7440" width="10.28515625" hidden="1" customWidth="1"/>
    <col min="7441" max="7441" width="10.5703125" hidden="1" customWidth="1"/>
    <col min="7442" max="7442" width="11.28515625" hidden="1" customWidth="1"/>
    <col min="7443" max="7443" width="10.28515625" hidden="1" customWidth="1"/>
    <col min="7444" max="7686" width="9.140625" hidden="1"/>
    <col min="7687" max="7687" width="19.140625" hidden="1" customWidth="1"/>
    <col min="7688" max="7691" width="9.7109375" hidden="1" customWidth="1"/>
    <col min="7692" max="7692" width="9.140625" hidden="1"/>
    <col min="7693" max="7693" width="9.7109375" hidden="1" customWidth="1"/>
    <col min="7694" max="7694" width="9.28515625" hidden="1" customWidth="1"/>
    <col min="7695" max="7695" width="9.140625" hidden="1"/>
    <col min="7696" max="7696" width="10.28515625" hidden="1" customWidth="1"/>
    <col min="7697" max="7697" width="10.5703125" hidden="1" customWidth="1"/>
    <col min="7698" max="7698" width="11.28515625" hidden="1" customWidth="1"/>
    <col min="7699" max="7699" width="10.28515625" hidden="1" customWidth="1"/>
    <col min="7700" max="7942" width="9.140625" hidden="1"/>
    <col min="7943" max="7943" width="19.140625" hidden="1" customWidth="1"/>
    <col min="7944" max="7947" width="9.7109375" hidden="1" customWidth="1"/>
    <col min="7948" max="7948" width="9.140625" hidden="1"/>
    <col min="7949" max="7949" width="9.7109375" hidden="1" customWidth="1"/>
    <col min="7950" max="7950" width="9.28515625" hidden="1" customWidth="1"/>
    <col min="7951" max="7951" width="9.140625" hidden="1"/>
    <col min="7952" max="7952" width="10.28515625" hidden="1" customWidth="1"/>
    <col min="7953" max="7953" width="10.5703125" hidden="1" customWidth="1"/>
    <col min="7954" max="7954" width="11.28515625" hidden="1" customWidth="1"/>
    <col min="7955" max="7955" width="10.28515625" hidden="1" customWidth="1"/>
    <col min="7956" max="8198" width="9.140625" hidden="1"/>
    <col min="8199" max="8199" width="19.140625" hidden="1" customWidth="1"/>
    <col min="8200" max="8203" width="9.7109375" hidden="1" customWidth="1"/>
    <col min="8204" max="8204" width="9.140625" hidden="1"/>
    <col min="8205" max="8205" width="9.7109375" hidden="1" customWidth="1"/>
    <col min="8206" max="8206" width="9.28515625" hidden="1" customWidth="1"/>
    <col min="8207" max="8207" width="9.140625" hidden="1"/>
    <col min="8208" max="8208" width="10.28515625" hidden="1" customWidth="1"/>
    <col min="8209" max="8209" width="10.5703125" hidden="1" customWidth="1"/>
    <col min="8210" max="8210" width="11.28515625" hidden="1" customWidth="1"/>
    <col min="8211" max="8211" width="10.28515625" hidden="1" customWidth="1"/>
    <col min="8212" max="8454" width="9.140625" hidden="1"/>
    <col min="8455" max="8455" width="19.140625" hidden="1" customWidth="1"/>
    <col min="8456" max="8459" width="9.7109375" hidden="1" customWidth="1"/>
    <col min="8460" max="8460" width="9.140625" hidden="1"/>
    <col min="8461" max="8461" width="9.7109375" hidden="1" customWidth="1"/>
    <col min="8462" max="8462" width="9.28515625" hidden="1" customWidth="1"/>
    <col min="8463" max="8463" width="9.140625" hidden="1"/>
    <col min="8464" max="8464" width="10.28515625" hidden="1" customWidth="1"/>
    <col min="8465" max="8465" width="10.5703125" hidden="1" customWidth="1"/>
    <col min="8466" max="8466" width="11.28515625" hidden="1" customWidth="1"/>
    <col min="8467" max="8467" width="10.28515625" hidden="1" customWidth="1"/>
    <col min="8468" max="8710" width="9.140625" hidden="1"/>
    <col min="8711" max="8711" width="19.140625" hidden="1" customWidth="1"/>
    <col min="8712" max="8715" width="9.7109375" hidden="1" customWidth="1"/>
    <col min="8716" max="8716" width="9.140625" hidden="1"/>
    <col min="8717" max="8717" width="9.7109375" hidden="1" customWidth="1"/>
    <col min="8718" max="8718" width="9.28515625" hidden="1" customWidth="1"/>
    <col min="8719" max="8719" width="9.140625" hidden="1"/>
    <col min="8720" max="8720" width="10.28515625" hidden="1" customWidth="1"/>
    <col min="8721" max="8721" width="10.5703125" hidden="1" customWidth="1"/>
    <col min="8722" max="8722" width="11.28515625" hidden="1" customWidth="1"/>
    <col min="8723" max="8723" width="10.28515625" hidden="1" customWidth="1"/>
    <col min="8724" max="8966" width="9.140625" hidden="1"/>
    <col min="8967" max="8967" width="19.140625" hidden="1" customWidth="1"/>
    <col min="8968" max="8971" width="9.7109375" hidden="1" customWidth="1"/>
    <col min="8972" max="8972" width="9.140625" hidden="1"/>
    <col min="8973" max="8973" width="9.7109375" hidden="1" customWidth="1"/>
    <col min="8974" max="8974" width="9.28515625" hidden="1" customWidth="1"/>
    <col min="8975" max="8975" width="9.140625" hidden="1"/>
    <col min="8976" max="8976" width="10.28515625" hidden="1" customWidth="1"/>
    <col min="8977" max="8977" width="10.5703125" hidden="1" customWidth="1"/>
    <col min="8978" max="8978" width="11.28515625" hidden="1" customWidth="1"/>
    <col min="8979" max="8979" width="10.28515625" hidden="1" customWidth="1"/>
    <col min="8980" max="9222" width="9.140625" hidden="1"/>
    <col min="9223" max="9223" width="19.140625" hidden="1" customWidth="1"/>
    <col min="9224" max="9227" width="9.7109375" hidden="1" customWidth="1"/>
    <col min="9228" max="9228" width="9.140625" hidden="1"/>
    <col min="9229" max="9229" width="9.7109375" hidden="1" customWidth="1"/>
    <col min="9230" max="9230" width="9.28515625" hidden="1" customWidth="1"/>
    <col min="9231" max="9231" width="9.140625" hidden="1"/>
    <col min="9232" max="9232" width="10.28515625" hidden="1" customWidth="1"/>
    <col min="9233" max="9233" width="10.5703125" hidden="1" customWidth="1"/>
    <col min="9234" max="9234" width="11.28515625" hidden="1" customWidth="1"/>
    <col min="9235" max="9235" width="10.28515625" hidden="1" customWidth="1"/>
    <col min="9236" max="9478" width="9.140625" hidden="1"/>
    <col min="9479" max="9479" width="19.140625" hidden="1" customWidth="1"/>
    <col min="9480" max="9483" width="9.7109375" hidden="1" customWidth="1"/>
    <col min="9484" max="9484" width="9.140625" hidden="1"/>
    <col min="9485" max="9485" width="9.7109375" hidden="1" customWidth="1"/>
    <col min="9486" max="9486" width="9.28515625" hidden="1" customWidth="1"/>
    <col min="9487" max="9487" width="9.140625" hidden="1"/>
    <col min="9488" max="9488" width="10.28515625" hidden="1" customWidth="1"/>
    <col min="9489" max="9489" width="10.5703125" hidden="1" customWidth="1"/>
    <col min="9490" max="9490" width="11.28515625" hidden="1" customWidth="1"/>
    <col min="9491" max="9491" width="10.28515625" hidden="1" customWidth="1"/>
    <col min="9492" max="9734" width="9.140625" hidden="1"/>
    <col min="9735" max="9735" width="19.140625" hidden="1" customWidth="1"/>
    <col min="9736" max="9739" width="9.7109375" hidden="1" customWidth="1"/>
    <col min="9740" max="9740" width="9.140625" hidden="1"/>
    <col min="9741" max="9741" width="9.7109375" hidden="1" customWidth="1"/>
    <col min="9742" max="9742" width="9.28515625" hidden="1" customWidth="1"/>
    <col min="9743" max="9743" width="9.140625" hidden="1"/>
    <col min="9744" max="9744" width="10.28515625" hidden="1" customWidth="1"/>
    <col min="9745" max="9745" width="10.5703125" hidden="1" customWidth="1"/>
    <col min="9746" max="9746" width="11.28515625" hidden="1" customWidth="1"/>
    <col min="9747" max="9747" width="10.28515625" hidden="1" customWidth="1"/>
    <col min="9748" max="9990" width="9.140625" hidden="1"/>
    <col min="9991" max="9991" width="19.140625" hidden="1" customWidth="1"/>
    <col min="9992" max="9995" width="9.7109375" hidden="1" customWidth="1"/>
    <col min="9996" max="9996" width="9.140625" hidden="1"/>
    <col min="9997" max="9997" width="9.7109375" hidden="1" customWidth="1"/>
    <col min="9998" max="9998" width="9.28515625" hidden="1" customWidth="1"/>
    <col min="9999" max="9999" width="9.140625" hidden="1"/>
    <col min="10000" max="10000" width="10.28515625" hidden="1" customWidth="1"/>
    <col min="10001" max="10001" width="10.5703125" hidden="1" customWidth="1"/>
    <col min="10002" max="10002" width="11.28515625" hidden="1" customWidth="1"/>
    <col min="10003" max="10003" width="10.28515625" hidden="1" customWidth="1"/>
    <col min="10004" max="10246" width="9.140625" hidden="1"/>
    <col min="10247" max="10247" width="19.140625" hidden="1" customWidth="1"/>
    <col min="10248" max="10251" width="9.7109375" hidden="1" customWidth="1"/>
    <col min="10252" max="10252" width="9.140625" hidden="1"/>
    <col min="10253" max="10253" width="9.7109375" hidden="1" customWidth="1"/>
    <col min="10254" max="10254" width="9.28515625" hidden="1" customWidth="1"/>
    <col min="10255" max="10255" width="9.140625" hidden="1"/>
    <col min="10256" max="10256" width="10.28515625" hidden="1" customWidth="1"/>
    <col min="10257" max="10257" width="10.5703125" hidden="1" customWidth="1"/>
    <col min="10258" max="10258" width="11.28515625" hidden="1" customWidth="1"/>
    <col min="10259" max="10259" width="10.28515625" hidden="1" customWidth="1"/>
    <col min="10260" max="10502" width="9.140625" hidden="1"/>
    <col min="10503" max="10503" width="19.140625" hidden="1" customWidth="1"/>
    <col min="10504" max="10507" width="9.7109375" hidden="1" customWidth="1"/>
    <col min="10508" max="10508" width="9.140625" hidden="1"/>
    <col min="10509" max="10509" width="9.7109375" hidden="1" customWidth="1"/>
    <col min="10510" max="10510" width="9.28515625" hidden="1" customWidth="1"/>
    <col min="10511" max="10511" width="9.140625" hidden="1"/>
    <col min="10512" max="10512" width="10.28515625" hidden="1" customWidth="1"/>
    <col min="10513" max="10513" width="10.5703125" hidden="1" customWidth="1"/>
    <col min="10514" max="10514" width="11.28515625" hidden="1" customWidth="1"/>
    <col min="10515" max="10515" width="10.28515625" hidden="1" customWidth="1"/>
    <col min="10516" max="10758" width="9.140625" hidden="1"/>
    <col min="10759" max="10759" width="19.140625" hidden="1" customWidth="1"/>
    <col min="10760" max="10763" width="9.7109375" hidden="1" customWidth="1"/>
    <col min="10764" max="10764" width="9.140625" hidden="1"/>
    <col min="10765" max="10765" width="9.7109375" hidden="1" customWidth="1"/>
    <col min="10766" max="10766" width="9.28515625" hidden="1" customWidth="1"/>
    <col min="10767" max="10767" width="9.140625" hidden="1"/>
    <col min="10768" max="10768" width="10.28515625" hidden="1" customWidth="1"/>
    <col min="10769" max="10769" width="10.5703125" hidden="1" customWidth="1"/>
    <col min="10770" max="10770" width="11.28515625" hidden="1" customWidth="1"/>
    <col min="10771" max="10771" width="10.28515625" hidden="1" customWidth="1"/>
    <col min="10772" max="11014" width="9.140625" hidden="1"/>
    <col min="11015" max="11015" width="19.140625" hidden="1" customWidth="1"/>
    <col min="11016" max="11019" width="9.7109375" hidden="1" customWidth="1"/>
    <col min="11020" max="11020" width="9.140625" hidden="1"/>
    <col min="11021" max="11021" width="9.7109375" hidden="1" customWidth="1"/>
    <col min="11022" max="11022" width="9.28515625" hidden="1" customWidth="1"/>
    <col min="11023" max="11023" width="9.140625" hidden="1"/>
    <col min="11024" max="11024" width="10.28515625" hidden="1" customWidth="1"/>
    <col min="11025" max="11025" width="10.5703125" hidden="1" customWidth="1"/>
    <col min="11026" max="11026" width="11.28515625" hidden="1" customWidth="1"/>
    <col min="11027" max="11027" width="10.28515625" hidden="1" customWidth="1"/>
    <col min="11028" max="11270" width="9.140625" hidden="1"/>
    <col min="11271" max="11271" width="19.140625" hidden="1" customWidth="1"/>
    <col min="11272" max="11275" width="9.7109375" hidden="1" customWidth="1"/>
    <col min="11276" max="11276" width="9.140625" hidden="1"/>
    <col min="11277" max="11277" width="9.7109375" hidden="1" customWidth="1"/>
    <col min="11278" max="11278" width="9.28515625" hidden="1" customWidth="1"/>
    <col min="11279" max="11279" width="9.140625" hidden="1"/>
    <col min="11280" max="11280" width="10.28515625" hidden="1" customWidth="1"/>
    <col min="11281" max="11281" width="10.5703125" hidden="1" customWidth="1"/>
    <col min="11282" max="11282" width="11.28515625" hidden="1" customWidth="1"/>
    <col min="11283" max="11283" width="10.28515625" hidden="1" customWidth="1"/>
    <col min="11284" max="11526" width="9.140625" hidden="1"/>
    <col min="11527" max="11527" width="19.140625" hidden="1" customWidth="1"/>
    <col min="11528" max="11531" width="9.7109375" hidden="1" customWidth="1"/>
    <col min="11532" max="11532" width="9.140625" hidden="1"/>
    <col min="11533" max="11533" width="9.7109375" hidden="1" customWidth="1"/>
    <col min="11534" max="11534" width="9.28515625" hidden="1" customWidth="1"/>
    <col min="11535" max="11535" width="9.140625" hidden="1"/>
    <col min="11536" max="11536" width="10.28515625" hidden="1" customWidth="1"/>
    <col min="11537" max="11537" width="10.5703125" hidden="1" customWidth="1"/>
    <col min="11538" max="11538" width="11.28515625" hidden="1" customWidth="1"/>
    <col min="11539" max="11539" width="10.28515625" hidden="1" customWidth="1"/>
    <col min="11540" max="11782" width="9.140625" hidden="1"/>
    <col min="11783" max="11783" width="19.140625" hidden="1" customWidth="1"/>
    <col min="11784" max="11787" width="9.7109375" hidden="1" customWidth="1"/>
    <col min="11788" max="11788" width="9.140625" hidden="1"/>
    <col min="11789" max="11789" width="9.7109375" hidden="1" customWidth="1"/>
    <col min="11790" max="11790" width="9.28515625" hidden="1" customWidth="1"/>
    <col min="11791" max="11791" width="9.140625" hidden="1"/>
    <col min="11792" max="11792" width="10.28515625" hidden="1" customWidth="1"/>
    <col min="11793" max="11793" width="10.5703125" hidden="1" customWidth="1"/>
    <col min="11794" max="11794" width="11.28515625" hidden="1" customWidth="1"/>
    <col min="11795" max="11795" width="10.28515625" hidden="1" customWidth="1"/>
    <col min="11796" max="12038" width="9.140625" hidden="1"/>
    <col min="12039" max="12039" width="19.140625" hidden="1" customWidth="1"/>
    <col min="12040" max="12043" width="9.7109375" hidden="1" customWidth="1"/>
    <col min="12044" max="12044" width="9.140625" hidden="1"/>
    <col min="12045" max="12045" width="9.7109375" hidden="1" customWidth="1"/>
    <col min="12046" max="12046" width="9.28515625" hidden="1" customWidth="1"/>
    <col min="12047" max="12047" width="9.140625" hidden="1"/>
    <col min="12048" max="12048" width="10.28515625" hidden="1" customWidth="1"/>
    <col min="12049" max="12049" width="10.5703125" hidden="1" customWidth="1"/>
    <col min="12050" max="12050" width="11.28515625" hidden="1" customWidth="1"/>
    <col min="12051" max="12051" width="10.28515625" hidden="1" customWidth="1"/>
    <col min="12052" max="12294" width="9.140625" hidden="1"/>
    <col min="12295" max="12295" width="19.140625" hidden="1" customWidth="1"/>
    <col min="12296" max="12299" width="9.7109375" hidden="1" customWidth="1"/>
    <col min="12300" max="12300" width="9.140625" hidden="1"/>
    <col min="12301" max="12301" width="9.7109375" hidden="1" customWidth="1"/>
    <col min="12302" max="12302" width="9.28515625" hidden="1" customWidth="1"/>
    <col min="12303" max="12303" width="9.140625" hidden="1"/>
    <col min="12304" max="12304" width="10.28515625" hidden="1" customWidth="1"/>
    <col min="12305" max="12305" width="10.5703125" hidden="1" customWidth="1"/>
    <col min="12306" max="12306" width="11.28515625" hidden="1" customWidth="1"/>
    <col min="12307" max="12307" width="10.28515625" hidden="1" customWidth="1"/>
    <col min="12308" max="12550" width="9.140625" hidden="1"/>
    <col min="12551" max="12551" width="19.140625" hidden="1" customWidth="1"/>
    <col min="12552" max="12555" width="9.7109375" hidden="1" customWidth="1"/>
    <col min="12556" max="12556" width="9.140625" hidden="1"/>
    <col min="12557" max="12557" width="9.7109375" hidden="1" customWidth="1"/>
    <col min="12558" max="12558" width="9.28515625" hidden="1" customWidth="1"/>
    <col min="12559" max="12559" width="9.140625" hidden="1"/>
    <col min="12560" max="12560" width="10.28515625" hidden="1" customWidth="1"/>
    <col min="12561" max="12561" width="10.5703125" hidden="1" customWidth="1"/>
    <col min="12562" max="12562" width="11.28515625" hidden="1" customWidth="1"/>
    <col min="12563" max="12563" width="10.28515625" hidden="1" customWidth="1"/>
    <col min="12564" max="12806" width="9.140625" hidden="1"/>
    <col min="12807" max="12807" width="19.140625" hidden="1" customWidth="1"/>
    <col min="12808" max="12811" width="9.7109375" hidden="1" customWidth="1"/>
    <col min="12812" max="12812" width="9.140625" hidden="1"/>
    <col min="12813" max="12813" width="9.7109375" hidden="1" customWidth="1"/>
    <col min="12814" max="12814" width="9.28515625" hidden="1" customWidth="1"/>
    <col min="12815" max="12815" width="9.140625" hidden="1"/>
    <col min="12816" max="12816" width="10.28515625" hidden="1" customWidth="1"/>
    <col min="12817" max="12817" width="10.5703125" hidden="1" customWidth="1"/>
    <col min="12818" max="12818" width="11.28515625" hidden="1" customWidth="1"/>
    <col min="12819" max="12819" width="10.28515625" hidden="1" customWidth="1"/>
    <col min="12820" max="13062" width="9.140625" hidden="1"/>
    <col min="13063" max="13063" width="19.140625" hidden="1" customWidth="1"/>
    <col min="13064" max="13067" width="9.7109375" hidden="1" customWidth="1"/>
    <col min="13068" max="13068" width="9.140625" hidden="1"/>
    <col min="13069" max="13069" width="9.7109375" hidden="1" customWidth="1"/>
    <col min="13070" max="13070" width="9.28515625" hidden="1" customWidth="1"/>
    <col min="13071" max="13071" width="9.140625" hidden="1"/>
    <col min="13072" max="13072" width="10.28515625" hidden="1" customWidth="1"/>
    <col min="13073" max="13073" width="10.5703125" hidden="1" customWidth="1"/>
    <col min="13074" max="13074" width="11.28515625" hidden="1" customWidth="1"/>
    <col min="13075" max="13075" width="10.28515625" hidden="1" customWidth="1"/>
    <col min="13076" max="13318" width="9.140625" hidden="1"/>
    <col min="13319" max="13319" width="19.140625" hidden="1" customWidth="1"/>
    <col min="13320" max="13323" width="9.7109375" hidden="1" customWidth="1"/>
    <col min="13324" max="13324" width="9.140625" hidden="1"/>
    <col min="13325" max="13325" width="9.7109375" hidden="1" customWidth="1"/>
    <col min="13326" max="13326" width="9.28515625" hidden="1" customWidth="1"/>
    <col min="13327" max="13327" width="9.140625" hidden="1"/>
    <col min="13328" max="13328" width="10.28515625" hidden="1" customWidth="1"/>
    <col min="13329" max="13329" width="10.5703125" hidden="1" customWidth="1"/>
    <col min="13330" max="13330" width="11.28515625" hidden="1" customWidth="1"/>
    <col min="13331" max="13331" width="10.28515625" hidden="1" customWidth="1"/>
    <col min="13332" max="13574" width="9.140625" hidden="1"/>
    <col min="13575" max="13575" width="19.140625" hidden="1" customWidth="1"/>
    <col min="13576" max="13579" width="9.7109375" hidden="1" customWidth="1"/>
    <col min="13580" max="13580" width="9.140625" hidden="1"/>
    <col min="13581" max="13581" width="9.7109375" hidden="1" customWidth="1"/>
    <col min="13582" max="13582" width="9.28515625" hidden="1" customWidth="1"/>
    <col min="13583" max="13583" width="9.140625" hidden="1"/>
    <col min="13584" max="13584" width="10.28515625" hidden="1" customWidth="1"/>
    <col min="13585" max="13585" width="10.5703125" hidden="1" customWidth="1"/>
    <col min="13586" max="13586" width="11.28515625" hidden="1" customWidth="1"/>
    <col min="13587" max="13587" width="10.28515625" hidden="1" customWidth="1"/>
    <col min="13588" max="13830" width="9.140625" hidden="1"/>
    <col min="13831" max="13831" width="19.140625" hidden="1" customWidth="1"/>
    <col min="13832" max="13835" width="9.7109375" hidden="1" customWidth="1"/>
    <col min="13836" max="13836" width="9.140625" hidden="1"/>
    <col min="13837" max="13837" width="9.7109375" hidden="1" customWidth="1"/>
    <col min="13838" max="13838" width="9.28515625" hidden="1" customWidth="1"/>
    <col min="13839" max="13839" width="9.140625" hidden="1"/>
    <col min="13840" max="13840" width="10.28515625" hidden="1" customWidth="1"/>
    <col min="13841" max="13841" width="10.5703125" hidden="1" customWidth="1"/>
    <col min="13842" max="13842" width="11.28515625" hidden="1" customWidth="1"/>
    <col min="13843" max="13843" width="10.28515625" hidden="1" customWidth="1"/>
    <col min="13844" max="14086" width="9.140625" hidden="1"/>
    <col min="14087" max="14087" width="19.140625" hidden="1" customWidth="1"/>
    <col min="14088" max="14091" width="9.7109375" hidden="1" customWidth="1"/>
    <col min="14092" max="14092" width="9.140625" hidden="1"/>
    <col min="14093" max="14093" width="9.7109375" hidden="1" customWidth="1"/>
    <col min="14094" max="14094" width="9.28515625" hidden="1" customWidth="1"/>
    <col min="14095" max="14095" width="9.140625" hidden="1"/>
    <col min="14096" max="14096" width="10.28515625" hidden="1" customWidth="1"/>
    <col min="14097" max="14097" width="10.5703125" hidden="1" customWidth="1"/>
    <col min="14098" max="14098" width="11.28515625" hidden="1" customWidth="1"/>
    <col min="14099" max="14099" width="10.28515625" hidden="1" customWidth="1"/>
    <col min="14100" max="14342" width="9.140625" hidden="1"/>
    <col min="14343" max="14343" width="19.140625" hidden="1" customWidth="1"/>
    <col min="14344" max="14347" width="9.7109375" hidden="1" customWidth="1"/>
    <col min="14348" max="14348" width="9.140625" hidden="1"/>
    <col min="14349" max="14349" width="9.7109375" hidden="1" customWidth="1"/>
    <col min="14350" max="14350" width="9.28515625" hidden="1" customWidth="1"/>
    <col min="14351" max="14351" width="9.140625" hidden="1"/>
    <col min="14352" max="14352" width="10.28515625" hidden="1" customWidth="1"/>
    <col min="14353" max="14353" width="10.5703125" hidden="1" customWidth="1"/>
    <col min="14354" max="14354" width="11.28515625" hidden="1" customWidth="1"/>
    <col min="14355" max="14355" width="10.28515625" hidden="1" customWidth="1"/>
    <col min="14356" max="14598" width="9.140625" hidden="1"/>
    <col min="14599" max="14599" width="19.140625" hidden="1" customWidth="1"/>
    <col min="14600" max="14603" width="9.7109375" hidden="1" customWidth="1"/>
    <col min="14604" max="14604" width="9.140625" hidden="1"/>
    <col min="14605" max="14605" width="9.7109375" hidden="1" customWidth="1"/>
    <col min="14606" max="14606" width="9.28515625" hidden="1" customWidth="1"/>
    <col min="14607" max="14607" width="9.140625" hidden="1"/>
    <col min="14608" max="14608" width="10.28515625" hidden="1" customWidth="1"/>
    <col min="14609" max="14609" width="10.5703125" hidden="1" customWidth="1"/>
    <col min="14610" max="14610" width="11.28515625" hidden="1" customWidth="1"/>
    <col min="14611" max="14611" width="10.28515625" hidden="1" customWidth="1"/>
    <col min="14612" max="14854" width="9.140625" hidden="1"/>
    <col min="14855" max="14855" width="19.140625" hidden="1" customWidth="1"/>
    <col min="14856" max="14859" width="9.7109375" hidden="1" customWidth="1"/>
    <col min="14860" max="14860" width="9.140625" hidden="1"/>
    <col min="14861" max="14861" width="9.7109375" hidden="1" customWidth="1"/>
    <col min="14862" max="14862" width="9.28515625" hidden="1" customWidth="1"/>
    <col min="14863" max="14863" width="9.140625" hidden="1"/>
    <col min="14864" max="14864" width="10.28515625" hidden="1" customWidth="1"/>
    <col min="14865" max="14865" width="10.5703125" hidden="1" customWidth="1"/>
    <col min="14866" max="14866" width="11.28515625" hidden="1" customWidth="1"/>
    <col min="14867" max="14867" width="10.28515625" hidden="1" customWidth="1"/>
    <col min="14868" max="15110" width="9.140625" hidden="1"/>
    <col min="15111" max="15111" width="19.140625" hidden="1" customWidth="1"/>
    <col min="15112" max="15115" width="9.7109375" hidden="1" customWidth="1"/>
    <col min="15116" max="15116" width="9.140625" hidden="1"/>
    <col min="15117" max="15117" width="9.7109375" hidden="1" customWidth="1"/>
    <col min="15118" max="15118" width="9.28515625" hidden="1" customWidth="1"/>
    <col min="15119" max="15119" width="9.140625" hidden="1"/>
    <col min="15120" max="15120" width="10.28515625" hidden="1" customWidth="1"/>
    <col min="15121" max="15121" width="10.5703125" hidden="1" customWidth="1"/>
    <col min="15122" max="15122" width="11.28515625" hidden="1" customWidth="1"/>
    <col min="15123" max="15123" width="10.28515625" hidden="1" customWidth="1"/>
    <col min="15124" max="15366" width="9.140625" hidden="1"/>
    <col min="15367" max="15367" width="19.140625" hidden="1" customWidth="1"/>
    <col min="15368" max="15371" width="9.7109375" hidden="1" customWidth="1"/>
    <col min="15372" max="15372" width="9.140625" hidden="1"/>
    <col min="15373" max="15373" width="9.7109375" hidden="1" customWidth="1"/>
    <col min="15374" max="15374" width="9.28515625" hidden="1" customWidth="1"/>
    <col min="15375" max="15375" width="9.140625" hidden="1"/>
    <col min="15376" max="15376" width="10.28515625" hidden="1" customWidth="1"/>
    <col min="15377" max="15377" width="10.5703125" hidden="1" customWidth="1"/>
    <col min="15378" max="15378" width="11.28515625" hidden="1" customWidth="1"/>
    <col min="15379" max="15379" width="10.28515625" hidden="1" customWidth="1"/>
    <col min="15380" max="15622" width="9.140625" hidden="1"/>
    <col min="15623" max="15623" width="19.140625" hidden="1" customWidth="1"/>
    <col min="15624" max="15627" width="9.7109375" hidden="1" customWidth="1"/>
    <col min="15628" max="15628" width="9.140625" hidden="1"/>
    <col min="15629" max="15629" width="9.7109375" hidden="1" customWidth="1"/>
    <col min="15630" max="15630" width="9.28515625" hidden="1" customWidth="1"/>
    <col min="15631" max="15631" width="9.140625" hidden="1"/>
    <col min="15632" max="15632" width="10.28515625" hidden="1" customWidth="1"/>
    <col min="15633" max="15633" width="10.5703125" hidden="1" customWidth="1"/>
    <col min="15634" max="15634" width="11.28515625" hidden="1" customWidth="1"/>
    <col min="15635" max="15635" width="10.28515625" hidden="1" customWidth="1"/>
    <col min="15636" max="15878" width="9.140625" hidden="1"/>
    <col min="15879" max="15879" width="19.140625" hidden="1" customWidth="1"/>
    <col min="15880" max="15883" width="9.7109375" hidden="1" customWidth="1"/>
    <col min="15884" max="15884" width="9.140625" hidden="1"/>
    <col min="15885" max="15885" width="9.7109375" hidden="1" customWidth="1"/>
    <col min="15886" max="15886" width="9.28515625" hidden="1" customWidth="1"/>
    <col min="15887" max="15887" width="9.140625" hidden="1"/>
    <col min="15888" max="15888" width="10.28515625" hidden="1" customWidth="1"/>
    <col min="15889" max="15889" width="10.5703125" hidden="1" customWidth="1"/>
    <col min="15890" max="15890" width="11.28515625" hidden="1" customWidth="1"/>
    <col min="15891" max="15891" width="10.28515625" hidden="1" customWidth="1"/>
    <col min="15892" max="16134" width="9.140625" hidden="1"/>
    <col min="16135" max="16135" width="19.140625" hidden="1" customWidth="1"/>
    <col min="16136" max="16139" width="9.7109375" hidden="1" customWidth="1"/>
    <col min="16140" max="16140" width="9.140625" hidden="1"/>
    <col min="16141" max="16141" width="9.7109375" hidden="1" customWidth="1"/>
    <col min="16142" max="16142" width="9.28515625" hidden="1" customWidth="1"/>
    <col min="16143" max="16143" width="9.140625" hidden="1"/>
    <col min="16144" max="16144" width="10.28515625" hidden="1" customWidth="1"/>
    <col min="16145" max="16145" width="10.5703125" hidden="1" customWidth="1"/>
    <col min="16146" max="16146" width="11.28515625" hidden="1" customWidth="1"/>
    <col min="16147" max="16148" width="10.28515625" hidden="1" customWidth="1"/>
    <col min="16149" max="16384" width="9.140625" hidden="1"/>
  </cols>
  <sheetData>
    <row r="1" spans="1:21">
      <c r="A1" s="5"/>
      <c r="B1" s="5"/>
      <c r="C1" s="5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5"/>
      <c r="R1" s="5"/>
      <c r="S1" s="5"/>
      <c r="T1" s="5"/>
      <c r="U1" s="5"/>
    </row>
    <row r="2" spans="1:21" ht="15.75">
      <c r="A2" s="5"/>
      <c r="B2" s="8" t="s">
        <v>0</v>
      </c>
      <c r="C2" s="8" t="s">
        <v>1</v>
      </c>
      <c r="D2" s="8" t="s">
        <v>2</v>
      </c>
      <c r="E2" s="30" t="s">
        <v>3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5"/>
      <c r="R2" s="5"/>
      <c r="S2" s="5"/>
      <c r="T2" s="5"/>
      <c r="U2" s="5"/>
    </row>
    <row r="3" spans="1:21" s="13" customFormat="1" ht="15" customHeight="1">
      <c r="A3" s="9"/>
      <c r="B3" s="31" t="s">
        <v>4</v>
      </c>
      <c r="C3" s="32" t="s">
        <v>5</v>
      </c>
      <c r="D3" s="10" t="s">
        <v>6</v>
      </c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16</v>
      </c>
      <c r="O3" s="12" t="s">
        <v>17</v>
      </c>
      <c r="P3" s="12" t="s">
        <v>18</v>
      </c>
      <c r="Q3" s="9"/>
      <c r="R3" s="9"/>
      <c r="S3" s="9"/>
      <c r="T3" s="9"/>
      <c r="U3" s="9"/>
    </row>
    <row r="4" spans="1:21" s="13" customFormat="1" ht="22.5" customHeight="1">
      <c r="A4" s="9"/>
      <c r="B4" s="31"/>
      <c r="C4" s="32"/>
      <c r="D4" s="14" t="s">
        <v>19</v>
      </c>
      <c r="E4" s="15">
        <v>296207</v>
      </c>
      <c r="F4" s="16">
        <v>197484</v>
      </c>
      <c r="G4" s="16">
        <v>219950</v>
      </c>
      <c r="H4" s="16">
        <v>141662</v>
      </c>
      <c r="I4" s="16">
        <v>233933</v>
      </c>
      <c r="J4" s="16">
        <v>229971</v>
      </c>
      <c r="K4" s="16">
        <v>271725</v>
      </c>
      <c r="L4" s="16">
        <v>337250</v>
      </c>
      <c r="M4" s="16"/>
      <c r="N4" s="16"/>
      <c r="O4" s="16"/>
      <c r="P4" s="16"/>
      <c r="Q4" s="9"/>
      <c r="R4" s="9"/>
      <c r="S4" s="9"/>
      <c r="T4" s="9"/>
      <c r="U4" s="9"/>
    </row>
    <row r="5" spans="1:21" s="13" customFormat="1" ht="22.5" customHeight="1">
      <c r="A5" s="9"/>
      <c r="B5" s="31"/>
      <c r="C5" s="32"/>
      <c r="D5" s="14" t="s">
        <v>20</v>
      </c>
      <c r="E5" s="15">
        <v>142163</v>
      </c>
      <c r="F5" s="16">
        <v>101706</v>
      </c>
      <c r="G5" s="16">
        <v>65810</v>
      </c>
      <c r="H5" s="16">
        <v>95244</v>
      </c>
      <c r="I5" s="16">
        <v>97426</v>
      </c>
      <c r="J5" s="16">
        <v>242979</v>
      </c>
      <c r="K5" s="16">
        <v>231887</v>
      </c>
      <c r="L5" s="16">
        <v>320928</v>
      </c>
      <c r="M5" s="16"/>
      <c r="N5" s="16"/>
      <c r="O5" s="16"/>
      <c r="P5" s="16"/>
      <c r="Q5" s="9"/>
      <c r="R5" s="9"/>
      <c r="S5" s="9"/>
      <c r="T5" s="9"/>
      <c r="U5" s="9"/>
    </row>
    <row r="6" spans="1:21" s="18" customFormat="1" ht="22.5" customHeight="1">
      <c r="A6" s="17"/>
      <c r="B6" s="31"/>
      <c r="C6" s="32"/>
      <c r="D6" s="14" t="s">
        <v>21</v>
      </c>
      <c r="E6" s="15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/>
      <c r="N6" s="16"/>
      <c r="O6" s="16"/>
      <c r="P6" s="16"/>
      <c r="Q6" s="17"/>
      <c r="R6" s="17"/>
      <c r="S6" s="17"/>
      <c r="T6" s="17"/>
      <c r="U6" s="17"/>
    </row>
    <row r="7" spans="1:21" s="18" customFormat="1" ht="22.5" customHeight="1">
      <c r="A7" s="17"/>
      <c r="B7" s="31"/>
      <c r="C7" s="32"/>
      <c r="D7" s="19" t="s">
        <v>22</v>
      </c>
      <c r="E7" s="15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/>
      <c r="N7" s="16"/>
      <c r="O7" s="16"/>
      <c r="P7" s="16"/>
      <c r="Q7" s="17"/>
      <c r="R7" s="17"/>
      <c r="S7" s="17"/>
      <c r="T7" s="17"/>
      <c r="U7" s="17"/>
    </row>
    <row r="8" spans="1:21" s="18" customFormat="1" ht="22.5" customHeight="1">
      <c r="A8" s="17"/>
      <c r="B8" s="31"/>
      <c r="C8" s="32"/>
      <c r="D8" s="19" t="s">
        <v>23</v>
      </c>
      <c r="E8" s="15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/>
      <c r="N8" s="16"/>
      <c r="O8" s="16"/>
      <c r="P8" s="16"/>
      <c r="Q8" s="17"/>
      <c r="R8" s="17"/>
      <c r="S8" s="17"/>
      <c r="T8" s="17"/>
      <c r="U8" s="17"/>
    </row>
    <row r="9" spans="1:21" s="18" customFormat="1" ht="26.25" customHeight="1">
      <c r="A9" s="17"/>
      <c r="B9" s="31"/>
      <c r="C9" s="32"/>
      <c r="D9" s="19" t="s">
        <v>24</v>
      </c>
      <c r="E9" s="15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/>
      <c r="N9" s="16"/>
      <c r="O9" s="16"/>
      <c r="P9" s="16"/>
      <c r="Q9" s="17"/>
      <c r="R9" s="17"/>
      <c r="S9" s="17"/>
      <c r="T9" s="17"/>
      <c r="U9" s="17"/>
    </row>
    <row r="10" spans="1:21" s="18" customFormat="1" ht="26.25" customHeight="1">
      <c r="A10" s="17"/>
      <c r="B10" s="31"/>
      <c r="C10" s="32"/>
      <c r="D10" s="20" t="s">
        <v>25</v>
      </c>
      <c r="E10" s="15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/>
      <c r="M10" s="16"/>
      <c r="N10" s="16"/>
      <c r="O10" s="16"/>
      <c r="P10" s="16"/>
      <c r="Q10" s="17"/>
      <c r="R10" s="17"/>
      <c r="S10" s="17"/>
      <c r="T10" s="17"/>
      <c r="U10" s="17"/>
    </row>
    <row r="11" spans="1:21" s="18" customFormat="1" ht="26.25" customHeight="1">
      <c r="A11" s="17"/>
      <c r="B11" s="31"/>
      <c r="C11" s="32"/>
      <c r="D11" s="20" t="s">
        <v>26</v>
      </c>
      <c r="E11" s="15">
        <v>0</v>
      </c>
      <c r="F11" s="16">
        <v>1140</v>
      </c>
      <c r="G11" s="16">
        <v>280</v>
      </c>
      <c r="H11" s="16">
        <v>0</v>
      </c>
      <c r="I11" s="16">
        <v>0</v>
      </c>
      <c r="J11" s="16">
        <v>0</v>
      </c>
      <c r="K11" s="16">
        <v>0</v>
      </c>
      <c r="L11" s="16"/>
      <c r="M11" s="16"/>
      <c r="N11" s="16"/>
      <c r="O11" s="16"/>
      <c r="P11" s="16"/>
      <c r="Q11" s="17"/>
      <c r="R11" s="17"/>
      <c r="S11" s="17"/>
      <c r="T11" s="17"/>
      <c r="U11" s="17"/>
    </row>
    <row r="12" spans="1:21" s="18" customFormat="1" ht="26.25" customHeight="1">
      <c r="A12" s="17"/>
      <c r="B12" s="31"/>
      <c r="C12" s="32"/>
      <c r="D12" s="21" t="s">
        <v>27</v>
      </c>
      <c r="E12" s="15">
        <v>0</v>
      </c>
      <c r="F12" s="16">
        <v>0</v>
      </c>
      <c r="G12" s="16">
        <v>0</v>
      </c>
      <c r="H12" s="16">
        <v>0</v>
      </c>
      <c r="I12" s="16">
        <v>0</v>
      </c>
      <c r="J12" s="16">
        <v>8000</v>
      </c>
      <c r="K12" s="16">
        <v>0</v>
      </c>
      <c r="L12" s="16"/>
      <c r="M12" s="16"/>
      <c r="N12" s="16"/>
      <c r="O12" s="16"/>
      <c r="P12" s="16"/>
      <c r="Q12" s="17"/>
      <c r="R12" s="17"/>
      <c r="S12" s="17"/>
      <c r="T12" s="17"/>
      <c r="U12" s="17"/>
    </row>
    <row r="13" spans="1:21" s="18" customFormat="1" ht="26.25" customHeight="1">
      <c r="A13" s="17"/>
      <c r="B13" s="31"/>
      <c r="C13" s="32"/>
      <c r="D13" s="22"/>
      <c r="E13" s="33" t="s">
        <v>28</v>
      </c>
      <c r="F13" s="33"/>
      <c r="G13" s="33"/>
      <c r="H13" s="33"/>
      <c r="I13" s="33"/>
      <c r="J13" s="33"/>
      <c r="K13" s="33" t="s">
        <v>29</v>
      </c>
      <c r="L13" s="33"/>
      <c r="M13" s="33"/>
      <c r="N13" s="33"/>
      <c r="O13" s="33"/>
      <c r="P13" s="33"/>
      <c r="Q13" s="17"/>
      <c r="R13" s="17"/>
      <c r="S13" s="17"/>
      <c r="T13" s="17"/>
      <c r="U13" s="17"/>
    </row>
    <row r="14" spans="1:21" s="25" customFormat="1" ht="22.5" customHeight="1">
      <c r="A14" s="23"/>
      <c r="B14" s="31"/>
      <c r="C14" s="32"/>
      <c r="D14" s="24" t="s">
        <v>30</v>
      </c>
      <c r="E14" s="34">
        <f>(SUM(E7:J7))/SUM((E4:J4))</f>
        <v>0</v>
      </c>
      <c r="F14" s="34"/>
      <c r="G14" s="34"/>
      <c r="H14" s="34"/>
      <c r="I14" s="34"/>
      <c r="J14" s="34"/>
      <c r="K14" s="34">
        <f>(SUM(K7:P7))/SUM((K4:P4))</f>
        <v>0</v>
      </c>
      <c r="L14" s="34"/>
      <c r="M14" s="34"/>
      <c r="N14" s="34"/>
      <c r="O14" s="34"/>
      <c r="P14" s="34"/>
      <c r="Q14" s="23"/>
      <c r="R14" s="23"/>
      <c r="S14" s="23"/>
      <c r="T14" s="23"/>
      <c r="U14" s="23"/>
    </row>
    <row r="15" spans="1:21" s="25" customFormat="1" ht="22.5" customHeight="1">
      <c r="A15" s="23"/>
      <c r="B15" s="31"/>
      <c r="C15" s="32"/>
      <c r="D15" s="24" t="s">
        <v>31</v>
      </c>
      <c r="E15" s="35">
        <f>SUM(E8:J8)/SUM(E5:J5)</f>
        <v>0</v>
      </c>
      <c r="F15" s="35"/>
      <c r="G15" s="35"/>
      <c r="H15" s="35"/>
      <c r="I15" s="35"/>
      <c r="J15" s="35"/>
      <c r="K15" s="34">
        <f>(SUM(K8:P8))/SUM((K5:P5))</f>
        <v>0</v>
      </c>
      <c r="L15" s="34"/>
      <c r="M15" s="34"/>
      <c r="N15" s="34"/>
      <c r="O15" s="34"/>
      <c r="P15" s="34"/>
      <c r="Q15" s="23"/>
      <c r="R15" s="23"/>
      <c r="S15" s="23"/>
      <c r="T15" s="23"/>
      <c r="U15" s="23"/>
    </row>
    <row r="16" spans="1:21" s="25" customFormat="1" ht="30.75" customHeight="1">
      <c r="A16" s="23"/>
      <c r="B16" s="31"/>
      <c r="C16" s="32"/>
      <c r="D16" s="24" t="s">
        <v>32</v>
      </c>
      <c r="E16" s="36">
        <v>0</v>
      </c>
      <c r="F16" s="36"/>
      <c r="G16" s="36"/>
      <c r="H16" s="36"/>
      <c r="I16" s="36"/>
      <c r="J16" s="36"/>
      <c r="K16" s="37">
        <f>(SUM(K9:P9))/SUM((K4:P4))</f>
        <v>0</v>
      </c>
      <c r="L16" s="38"/>
      <c r="M16" s="38"/>
      <c r="N16" s="38"/>
      <c r="O16" s="38"/>
      <c r="P16" s="39"/>
      <c r="Q16" s="23"/>
      <c r="R16" s="23"/>
      <c r="S16" s="23"/>
      <c r="T16" s="23"/>
      <c r="U16" s="23"/>
    </row>
    <row r="17" spans="1:21" s="25" customFormat="1" ht="26.25" customHeight="1">
      <c r="A17" s="23"/>
      <c r="B17" s="31"/>
      <c r="C17" s="32"/>
      <c r="D17" s="26" t="s">
        <v>33</v>
      </c>
      <c r="E17" s="40">
        <f>(SUM(E10:J10))/SUM((E4:J4))</f>
        <v>0</v>
      </c>
      <c r="F17" s="40"/>
      <c r="G17" s="40"/>
      <c r="H17" s="40"/>
      <c r="I17" s="40"/>
      <c r="J17" s="40"/>
      <c r="K17" s="41">
        <f>(SUM(K10:P10))/SUM((K4:P4))</f>
        <v>0</v>
      </c>
      <c r="L17" s="38"/>
      <c r="M17" s="38"/>
      <c r="N17" s="38"/>
      <c r="O17" s="38"/>
      <c r="P17" s="42"/>
      <c r="Q17" s="23"/>
      <c r="R17" s="23"/>
      <c r="S17" s="23"/>
      <c r="T17" s="23"/>
      <c r="U17" s="23"/>
    </row>
    <row r="18" spans="1:21" s="25" customFormat="1" ht="26.25" customHeight="1">
      <c r="A18" s="23"/>
      <c r="B18" s="31"/>
      <c r="C18" s="32"/>
      <c r="D18" s="27" t="s">
        <v>34</v>
      </c>
      <c r="E18" s="40">
        <f>SUM(E11:J11)/SUM(E5:J5)</f>
        <v>1.9052014683468219E-3</v>
      </c>
      <c r="F18" s="40"/>
      <c r="G18" s="40"/>
      <c r="H18" s="40"/>
      <c r="I18" s="40"/>
      <c r="J18" s="40"/>
      <c r="K18" s="43">
        <f>SUM(K11:P11)/SUM(K5:P5)</f>
        <v>0</v>
      </c>
      <c r="L18" s="43"/>
      <c r="M18" s="43"/>
      <c r="N18" s="43"/>
      <c r="O18" s="43"/>
      <c r="P18" s="43"/>
      <c r="Q18" s="23"/>
      <c r="R18" s="23"/>
      <c r="S18" s="23"/>
      <c r="T18" s="23"/>
      <c r="U18" s="23"/>
    </row>
    <row r="19" spans="1:21" s="25" customFormat="1" ht="26.25" customHeight="1">
      <c r="A19" s="23"/>
      <c r="B19" s="31"/>
      <c r="C19" s="32"/>
      <c r="D19" s="27" t="s">
        <v>35</v>
      </c>
      <c r="E19" s="41">
        <f>SUM(E12:J12)/SUM(E4:J4)</f>
        <v>6.0642492042567997E-3</v>
      </c>
      <c r="F19" s="38"/>
      <c r="G19" s="38"/>
      <c r="H19" s="38"/>
      <c r="I19" s="38"/>
      <c r="J19" s="42"/>
      <c r="K19" s="44">
        <f>SUM(K12:P12)/SUM(K4:P4)</f>
        <v>0</v>
      </c>
      <c r="L19" s="45"/>
      <c r="M19" s="45"/>
      <c r="N19" s="45"/>
      <c r="O19" s="45"/>
      <c r="P19" s="46"/>
      <c r="Q19" s="23"/>
      <c r="R19" s="23"/>
      <c r="S19" s="23"/>
      <c r="T19" s="23"/>
      <c r="U19" s="23"/>
    </row>
    <row r="20" spans="1:21" s="25" customFormat="1" ht="26.25" customHeight="1">
      <c r="A20" s="23"/>
      <c r="B20" s="31"/>
      <c r="C20" s="32"/>
      <c r="D20" s="28" t="s">
        <v>36</v>
      </c>
      <c r="E20" s="40">
        <f>SUM(E14:J16)</f>
        <v>0</v>
      </c>
      <c r="F20" s="40"/>
      <c r="G20" s="40"/>
      <c r="H20" s="40"/>
      <c r="I20" s="40"/>
      <c r="J20" s="40"/>
      <c r="K20" s="35">
        <f>SUM(K14:P16)</f>
        <v>0</v>
      </c>
      <c r="L20" s="35"/>
      <c r="M20" s="35"/>
      <c r="N20" s="35"/>
      <c r="O20" s="35"/>
      <c r="P20" s="35"/>
      <c r="Q20" s="23"/>
      <c r="R20" s="23"/>
      <c r="S20" s="23"/>
      <c r="T20" s="23"/>
      <c r="U20" s="23"/>
    </row>
    <row r="21" spans="1:21" s="25" customFormat="1" ht="26.25" customHeight="1">
      <c r="A21" s="23"/>
      <c r="B21" s="31"/>
      <c r="C21" s="32"/>
      <c r="D21" s="28" t="s">
        <v>37</v>
      </c>
      <c r="E21" s="40">
        <f>SUM(E17:J20)</f>
        <v>7.9694506726036216E-3</v>
      </c>
      <c r="F21" s="40"/>
      <c r="G21" s="40"/>
      <c r="H21" s="40"/>
      <c r="I21" s="40"/>
      <c r="J21" s="40"/>
      <c r="K21" s="35">
        <f>SUM(K17:P19)</f>
        <v>0</v>
      </c>
      <c r="L21" s="35"/>
      <c r="M21" s="35"/>
      <c r="N21" s="35"/>
      <c r="O21" s="35"/>
      <c r="P21" s="35"/>
      <c r="Q21" s="23"/>
      <c r="R21" s="23"/>
      <c r="S21" s="23"/>
      <c r="T21" s="23"/>
      <c r="U21" s="23"/>
    </row>
    <row r="22" spans="1:21" s="25" customFormat="1" ht="27" customHeight="1">
      <c r="A22" s="23"/>
      <c r="B22" s="31"/>
      <c r="C22" s="32"/>
      <c r="D22" s="29" t="s">
        <v>38</v>
      </c>
      <c r="E22" s="40">
        <f>SUM(E20:J21)</f>
        <v>7.9694506726036216E-3</v>
      </c>
      <c r="F22" s="40"/>
      <c r="G22" s="40"/>
      <c r="H22" s="40"/>
      <c r="I22" s="40"/>
      <c r="J22" s="40"/>
      <c r="K22" s="40">
        <f>SUM(K20:P21)</f>
        <v>0</v>
      </c>
      <c r="L22" s="40"/>
      <c r="M22" s="40"/>
      <c r="N22" s="40"/>
      <c r="O22" s="40"/>
      <c r="P22" s="40"/>
      <c r="Q22" s="23"/>
      <c r="R22" s="23"/>
      <c r="S22" s="23"/>
      <c r="T22" s="23"/>
      <c r="U22" s="23"/>
    </row>
    <row r="23" spans="1:21" ht="15" customHeight="1">
      <c r="A23" s="5"/>
      <c r="B23" s="5"/>
      <c r="C23" s="5"/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5"/>
      <c r="R23" s="5"/>
      <c r="S23" s="5"/>
      <c r="T23" s="5"/>
      <c r="U23" s="5"/>
    </row>
    <row r="24" spans="1:21" ht="15" customHeight="1">
      <c r="A24" s="5"/>
      <c r="B24" s="47" t="s">
        <v>39</v>
      </c>
      <c r="C24" s="47"/>
      <c r="D24" s="48" t="s">
        <v>40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5"/>
      <c r="R24" s="2" t="s">
        <v>39</v>
      </c>
      <c r="S24" s="48" t="s">
        <v>40</v>
      </c>
      <c r="T24" s="48"/>
      <c r="U24" s="5"/>
    </row>
    <row r="25" spans="1:21" ht="33" customHeight="1">
      <c r="A25" s="5"/>
      <c r="B25" s="49" t="s">
        <v>41</v>
      </c>
      <c r="C25" s="49"/>
      <c r="D25" s="50" t="s">
        <v>42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"/>
      <c r="R25" s="1" t="s">
        <v>43</v>
      </c>
      <c r="S25" s="50"/>
      <c r="T25" s="50"/>
      <c r="U25" s="5"/>
    </row>
    <row r="26" spans="1:21" ht="26.25" customHeight="1">
      <c r="A26" s="5"/>
      <c r="B26" s="49" t="s">
        <v>44</v>
      </c>
      <c r="C26" s="49"/>
      <c r="D26" s="50" t="s">
        <v>42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"/>
      <c r="R26" s="1" t="s">
        <v>45</v>
      </c>
      <c r="S26" s="50"/>
      <c r="T26" s="50"/>
      <c r="U26" s="5"/>
    </row>
    <row r="27" spans="1:21" ht="23.25" customHeight="1">
      <c r="A27" s="5"/>
      <c r="B27" s="49" t="s">
        <v>46</v>
      </c>
      <c r="C27" s="49"/>
      <c r="D27" s="51" t="s">
        <v>42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"/>
      <c r="R27" s="1" t="s">
        <v>47</v>
      </c>
      <c r="S27" s="50"/>
      <c r="T27" s="50"/>
      <c r="U27" s="5"/>
    </row>
    <row r="28" spans="1:21" ht="23.25" customHeight="1">
      <c r="A28" s="5"/>
      <c r="B28" s="49" t="s">
        <v>48</v>
      </c>
      <c r="C28" s="49"/>
      <c r="D28" s="51" t="s">
        <v>42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"/>
      <c r="R28" s="1" t="s">
        <v>49</v>
      </c>
      <c r="S28" s="50"/>
      <c r="T28" s="50"/>
      <c r="U28" s="5"/>
    </row>
    <row r="29" spans="1:21" ht="23.25" customHeight="1">
      <c r="A29" s="5"/>
      <c r="B29" s="49" t="s">
        <v>50</v>
      </c>
      <c r="C29" s="49"/>
      <c r="D29" s="52" t="s">
        <v>42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"/>
      <c r="R29" s="1" t="s">
        <v>51</v>
      </c>
      <c r="S29" s="52"/>
      <c r="T29" s="52"/>
      <c r="U29" s="5"/>
    </row>
    <row r="30" spans="1:21" ht="24.75" customHeight="1">
      <c r="A30" s="5"/>
      <c r="B30" s="49" t="s">
        <v>52</v>
      </c>
      <c r="C30" s="49"/>
      <c r="D30" s="52" t="s">
        <v>53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"/>
      <c r="R30" s="1" t="s">
        <v>54</v>
      </c>
      <c r="S30" s="52"/>
      <c r="T30" s="52"/>
      <c r="U30" s="5"/>
    </row>
    <row r="31" spans="1:21" ht="15" customHeight="1">
      <c r="A31" s="5"/>
      <c r="B31" s="5"/>
      <c r="C31" s="5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5"/>
      <c r="R31" s="5"/>
      <c r="S31" s="5"/>
      <c r="T31" s="5"/>
      <c r="U31" s="5"/>
    </row>
  </sheetData>
  <sheetProtection algorithmName="SHA-512" hashValue="Hz+9PCeAtwT+vceXuwYuRdHZdphYjxITpT9FExCwbh3ANAfcvUuOCQlV97Y+/3lW4SdWlhwHeH5N9fU86iikAg==" saltValue="74N6VUB6fL+sa1LrU4sMpg==" spinCount="100000" sheet="1" objects="1" scenarios="1"/>
  <mergeCells count="44">
    <mergeCell ref="B29:C29"/>
    <mergeCell ref="D29:P29"/>
    <mergeCell ref="S29:T29"/>
    <mergeCell ref="B30:C30"/>
    <mergeCell ref="D30:P30"/>
    <mergeCell ref="S30:T30"/>
    <mergeCell ref="B27:C27"/>
    <mergeCell ref="D27:P27"/>
    <mergeCell ref="S27:T27"/>
    <mergeCell ref="B28:C28"/>
    <mergeCell ref="D28:P28"/>
    <mergeCell ref="S28:T28"/>
    <mergeCell ref="B25:C25"/>
    <mergeCell ref="D25:P25"/>
    <mergeCell ref="S25:T25"/>
    <mergeCell ref="B26:C26"/>
    <mergeCell ref="D26:P26"/>
    <mergeCell ref="S26:T26"/>
    <mergeCell ref="E22:J22"/>
    <mergeCell ref="K22:P22"/>
    <mergeCell ref="B24:C24"/>
    <mergeCell ref="D24:P24"/>
    <mergeCell ref="S24:T24"/>
    <mergeCell ref="K19:P19"/>
    <mergeCell ref="E20:J20"/>
    <mergeCell ref="K20:P20"/>
    <mergeCell ref="E21:J21"/>
    <mergeCell ref="K21:P21"/>
    <mergeCell ref="E2:P2"/>
    <mergeCell ref="B3:B22"/>
    <mergeCell ref="C3:C22"/>
    <mergeCell ref="E13:J13"/>
    <mergeCell ref="K13:P13"/>
    <mergeCell ref="E14:J14"/>
    <mergeCell ref="K14:P14"/>
    <mergeCell ref="E15:J15"/>
    <mergeCell ref="K15:P15"/>
    <mergeCell ref="E16:J16"/>
    <mergeCell ref="K16:P16"/>
    <mergeCell ref="E17:J17"/>
    <mergeCell ref="K17:P17"/>
    <mergeCell ref="E18:J18"/>
    <mergeCell ref="K18:P18"/>
    <mergeCell ref="E19:J1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customHeight="1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3d42cc-9d03-42bd-bd28-a5d9c2be3306">
      <Terms xmlns="http://schemas.microsoft.com/office/infopath/2007/PartnerControls"/>
    </lcf76f155ced4ddcb4097134ff3c332f>
    <TaxCatchAll xmlns="f6064642-ad38-4ca5-b2fe-a6757f19c2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665A30329B3948B900B5D2622C9D6B" ma:contentTypeVersion="17" ma:contentTypeDescription="Criar um novo documento." ma:contentTypeScope="" ma:versionID="64633014b3912eb26cd8669b81d9ea3a">
  <xsd:schema xmlns:xsd="http://www.w3.org/2001/XMLSchema" xmlns:xs="http://www.w3.org/2001/XMLSchema" xmlns:p="http://schemas.microsoft.com/office/2006/metadata/properties" xmlns:ns2="483d42cc-9d03-42bd-bd28-a5d9c2be3306" xmlns:ns3="f6064642-ad38-4ca5-b2fe-a6757f19c2a2" targetNamespace="http://schemas.microsoft.com/office/2006/metadata/properties" ma:root="true" ma:fieldsID="6104d0614175e96be36bf84e9137a1fb" ns2:_="" ns3:_="">
    <xsd:import namespace="483d42cc-9d03-42bd-bd28-a5d9c2be3306"/>
    <xsd:import namespace="f6064642-ad38-4ca5-b2fe-a6757f19c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d42cc-9d03-42bd-bd28-a5d9c2be3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8f40964-7409-4f20-9b58-06660137aa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4642-ad38-4ca5-b2fe-a6757f19c2a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eb5cdb1-4f7c-4b0e-9ea0-ee2e98b9c687}" ma:internalName="TaxCatchAll" ma:showField="CatchAllData" ma:web="f6064642-ad38-4ca5-b2fe-a6757f19c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8A21AA-F985-43F8-8258-C104E27BA00D}"/>
</file>

<file path=customXml/itemProps2.xml><?xml version="1.0" encoding="utf-8"?>
<ds:datastoreItem xmlns:ds="http://schemas.openxmlformats.org/officeDocument/2006/customXml" ds:itemID="{E0B868CF-55DA-4B4D-A442-913DF088BB3F}"/>
</file>

<file path=customXml/itemProps3.xml><?xml version="1.0" encoding="utf-8"?>
<ds:datastoreItem xmlns:ds="http://schemas.openxmlformats.org/officeDocument/2006/customXml" ds:itemID="{147254CE-7F1F-4AD7-B178-3307149792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Amanda - Qualidade (Sinergia Agro)</cp:lastModifiedBy>
  <cp:revision>1</cp:revision>
  <dcterms:created xsi:type="dcterms:W3CDTF">2018-09-27T14:20:54Z</dcterms:created>
  <dcterms:modified xsi:type="dcterms:W3CDTF">2026-09-04T14:28:13Z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0x01010034665A30329B3948B900B5D2622C9D6B</vt:lpwstr>
  </property>
  <property fmtid="{D5CDD505-2E9C-101B-9397-08002B2CF9AE}" pid="3" name="MediaServiceImageTags">
    <vt:lpwstr/>
  </property>
</Properties>
</file>