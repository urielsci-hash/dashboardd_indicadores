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rgiaagrobrasil.sharepoint.com/sites/GERAL/Documentos Partilhados/GERAL/SINERGIA_ISO9001/SINERGIA_Indicadores/INDICADORES 2026/"/>
    </mc:Choice>
  </mc:AlternateContent>
  <xr:revisionPtr revIDLastSave="112" documentId="14_{F1410DF2-3664-49E1-9817-E98800A25F52}" xr6:coauthVersionLast="47" xr6:coauthVersionMax="47" xr10:uidLastSave="{B20C99C2-54AC-4859-B72A-5CEA797F9343}"/>
  <workbookProtection workbookAlgorithmName="SHA-512" workbookHashValue="QWkVReJ0tOVbSSBwaifM4ofoTGBoSHa+MnSo7AeQp74Qf87sddB5AVgPlf6yXdWnBf80No6K6kk74aXOdijSCw==" workbookSaltValue="VqDN7lSPzfPSViLL59ex/w==" workbookSpinCount="100000" lockStructure="1"/>
  <bookViews>
    <workbookView xWindow="-120" yWindow="-120" windowWidth="20730" windowHeight="11040" tabRatio="832" xr2:uid="{00000000-000D-0000-FFFF-FFFF00000000}"/>
  </bookViews>
  <sheets>
    <sheet name="PERDAS (TIPO)" sheetId="2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7" l="1"/>
  <c r="G6" i="27"/>
  <c r="I9" i="27"/>
  <c r="H8" i="27"/>
  <c r="I4" i="27"/>
  <c r="H4" i="27"/>
  <c r="H9" i="27"/>
  <c r="H6" i="27"/>
  <c r="H10" i="27"/>
  <c r="G4" i="27"/>
  <c r="G10" i="27"/>
  <c r="G9" i="27"/>
  <c r="G7" i="27"/>
  <c r="G5" i="27"/>
  <c r="G8" i="27"/>
  <c r="F4" i="27"/>
  <c r="F9" i="27"/>
  <c r="F8" i="27"/>
  <c r="F7" i="27"/>
  <c r="F6" i="27"/>
  <c r="F5" i="27"/>
  <c r="F10" i="27"/>
</calcChain>
</file>

<file path=xl/sharedStrings.xml><?xml version="1.0" encoding="utf-8"?>
<sst xmlns="http://schemas.openxmlformats.org/spreadsheetml/2006/main" count="49" uniqueCount="36">
  <si>
    <t>OBJETIVO</t>
  </si>
  <si>
    <t>META</t>
  </si>
  <si>
    <t>MOTIVO</t>
  </si>
  <si>
    <t>ACOMPANHAMENTO MENSAL  - 2026</t>
  </si>
  <si>
    <t>JAN
FEV</t>
  </si>
  <si>
    <t>MAR
ABR</t>
  </si>
  <si>
    <t>MAI
JUN</t>
  </si>
  <si>
    <t>JUL
AGO</t>
  </si>
  <si>
    <t>SET
OUT</t>
  </si>
  <si>
    <t>NOV
DEZ</t>
  </si>
  <si>
    <t>MONITORAR OS TIPOS DE PERDA NA PRODUÇÃO</t>
  </si>
  <si>
    <t>N/A</t>
  </si>
  <si>
    <t>1-Falha Operacional</t>
  </si>
  <si>
    <t xml:space="preserve"> </t>
  </si>
  <si>
    <t>2-Desl. Parada Máquina</t>
  </si>
  <si>
    <t>3 - Ajuste Processo</t>
  </si>
  <si>
    <t>4 - Retrabalho</t>
  </si>
  <si>
    <t>5 - Preparação Inicial</t>
  </si>
  <si>
    <t>6 - Defeito Fabricante</t>
  </si>
  <si>
    <t>7 - Inspeções</t>
  </si>
  <si>
    <t>MÊS</t>
  </si>
  <si>
    <t xml:space="preserve">OBSERVAÇÕES </t>
  </si>
  <si>
    <t>JANEIRO</t>
  </si>
  <si>
    <t>SEM AÇÃO</t>
  </si>
  <si>
    <t>FEVEREIRO</t>
  </si>
  <si>
    <t>I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</si>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</sst>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2" borderId="4" xfId="0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 vertical="top" wrapText="1"/>
      <protection locked="0"/>
    </xf>
    <xf numFmtId="0" fontId="0" fillId="2" borderId="9" xfId="0" applyFill="1" applyBorder="1" applyAlignment="1" applyProtection="1">
      <alignment horizontal="center" vertical="top" wrapText="1"/>
      <protection locked="0"/>
    </xf>
    <xf numFmtId="0" fontId="0" fillId="2" borderId="10" xfId="0" applyFill="1" applyBorder="1" applyAlignment="1" applyProtection="1">
      <alignment horizontal="center" vertical="top" wrapText="1"/>
      <protection locked="0"/>
    </xf>
    <xf numFmtId="0" fontId="0" fillId="2" borderId="8" xfId="0" applyFill="1" applyBorder="1" applyAlignment="1" applyProtection="1">
      <alignment horizontal="center" vertical="top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0" fontId="0" fillId="2" borderId="10" xfId="0" applyFill="1" applyBorder="1" applyAlignment="1" applyProtection="1">
      <alignment horizontal="center" vertical="top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CCFF99"/>
      <color rgb="FF3FCDFF"/>
      <color rgb="FFE175CA"/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Monitoramento Produção_2026Objetivo: Monitorar os Tipos de perdas durante o processo produtivo</a:t>
            </a:r>
            <a:endParaRPr lang="en-US" sz="1400"/>
          </a:p>
        </c:rich>
      </c:tx>
      <c:layout>
        <c:manualLayout>
          <c:xMode val="edge"/>
          <c:yMode val="edge"/>
          <c:x val="0.12950129845981784"/>
          <c:y val="2.3677751658920273E-2"/>
        </c:manualLayout>
      </c:layout>
      <c:overlay val="0"/>
      <c:spPr>
        <a:gradFill rotWithShape="1">
          <a:gsLst>
            <a:gs pos="0">
              <a:schemeClr val="accent2">
                <a:lumMod val="110000"/>
                <a:satMod val="105000"/>
                <a:tint val="67000"/>
              </a:schemeClr>
            </a:gs>
            <a:gs pos="50000">
              <a:schemeClr val="accent2">
                <a:lumMod val="105000"/>
                <a:satMod val="103000"/>
                <a:tint val="73000"/>
              </a:schemeClr>
            </a:gs>
            <a:gs pos="100000">
              <a:schemeClr val="accent2">
                <a:lumMod val="105000"/>
                <a:satMod val="109000"/>
                <a:tint val="81000"/>
              </a:schemeClr>
            </a:gs>
          </a:gsLst>
          <a:lin ang="5400000" scaled="0"/>
        </a:gradFill>
        <a:ln w="635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'PERDAS (TIPO)'!$E$4</c:f>
              <c:strCache>
                <c:ptCount val="1"/>
                <c:pt idx="0">
                  <c:v>1-Falha Operacional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660163613568924E-3"/>
                  <c:y val="2.6907513648949219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F8-4B1E-B740-CA4684429D08}"/>
                </c:ext>
              </c:extLst>
            </c:dLbl>
            <c:dLbl>
              <c:idx val="1"/>
              <c:layout>
                <c:manualLayout>
                  <c:x val="0"/>
                  <c:y val="-2.7724848196239442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C7-4ECE-A7E2-EF14D6AD7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(TIPO)'!$F$4:$K$4</c:f>
              <c:numCache>
                <c:formatCode>General</c:formatCode>
                <c:ptCount val="6"/>
                <c:pt idx="0">
                  <c:v>19</c:v>
                </c:pt>
                <c:pt idx="1">
                  <c:v>22</c:v>
                </c:pt>
                <c:pt idx="2">
                  <c:v>10</c:v>
                </c:pt>
                <c:pt idx="3">
                  <c:v>33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0-43C8-BD76-6119FF53B4D9}"/>
            </c:ext>
          </c:extLst>
        </c:ser>
        <c:ser>
          <c:idx val="1"/>
          <c:order val="1"/>
          <c:tx>
            <c:strRef>
              <c:f>'PERDAS (TIPO)'!$E$5</c:f>
              <c:strCache>
                <c:ptCount val="1"/>
                <c:pt idx="0">
                  <c:v>2-Desl. Parada Máquina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(TIPO)'!$F$5:$K$5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0-43C8-BD76-6119FF53B4D9}"/>
            </c:ext>
          </c:extLst>
        </c:ser>
        <c:ser>
          <c:idx val="2"/>
          <c:order val="2"/>
          <c:tx>
            <c:strRef>
              <c:f>'PERDAS (TIPO)'!$E$6</c:f>
              <c:strCache>
                <c:ptCount val="1"/>
                <c:pt idx="0">
                  <c:v>3 - Ajuste Processo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8.076976626816807E-18"/>
                  <c:y val="2.6907513648948968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F8-4B1E-B740-CA4684429D08}"/>
                </c:ext>
              </c:extLst>
            </c:dLbl>
            <c:dLbl>
              <c:idx val="1"/>
              <c:layout>
                <c:manualLayout>
                  <c:x val="-3.2307906507267228E-17"/>
                  <c:y val="5.4223694571543047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C7-4ECE-A7E2-EF14D6AD7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(TIPO)'!$F$6:$K$6</c:f>
              <c:numCache>
                <c:formatCode>General</c:formatCode>
                <c:ptCount val="6"/>
                <c:pt idx="0">
                  <c:v>30</c:v>
                </c:pt>
                <c:pt idx="1">
                  <c:v>38</c:v>
                </c:pt>
                <c:pt idx="2">
                  <c:v>24</c:v>
                </c:pt>
                <c:pt idx="3">
                  <c:v>19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0-43C8-BD76-6119FF53B4D9}"/>
            </c:ext>
          </c:extLst>
        </c:ser>
        <c:ser>
          <c:idx val="3"/>
          <c:order val="3"/>
          <c:tx>
            <c:strRef>
              <c:f>'PERDAS (TIPO)'!$E$7</c:f>
              <c:strCache>
                <c:ptCount val="1"/>
                <c:pt idx="0">
                  <c:v>4 - Retrabalho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188186796952574E-17"/>
                  <c:y val="2.69075136489492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F8-4B1E-B740-CA4684429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(TIPO)'!$F$7:$K$7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30-43C8-BD76-6119FF53B4D9}"/>
            </c:ext>
          </c:extLst>
        </c:ser>
        <c:ser>
          <c:idx val="4"/>
          <c:order val="4"/>
          <c:tx>
            <c:strRef>
              <c:f>'PERDAS (TIPO)'!$E$8</c:f>
              <c:strCache>
                <c:ptCount val="1"/>
                <c:pt idx="0">
                  <c:v>5 - Preparação Inicial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(TIPO)'!$F$8:$K$8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30-43C8-BD76-6119FF53B4D9}"/>
            </c:ext>
          </c:extLst>
        </c:ser>
        <c:ser>
          <c:idx val="5"/>
          <c:order val="5"/>
          <c:tx>
            <c:strRef>
              <c:f>'PERDAS (TIPO)'!$E$9</c:f>
              <c:strCache>
                <c:ptCount val="1"/>
                <c:pt idx="0">
                  <c:v>6 - Defeito Fabricante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153953253633614E-17"/>
                  <c:y val="5.422369457154355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48-4BE4-854B-797475235F73}"/>
                </c:ext>
              </c:extLst>
            </c:dLbl>
            <c:dLbl>
              <c:idx val="1"/>
              <c:layout>
                <c:manualLayout>
                  <c:x val="-1.7622698035069492E-3"/>
                  <c:y val="-4.4665182129024145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C7-4ECE-A7E2-EF14D6AD7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(TIPO)'!$F$9:$K$9</c:f>
              <c:numCache>
                <c:formatCode>General</c:formatCode>
                <c:ptCount val="6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30-43C8-BD76-6119FF53B4D9}"/>
            </c:ext>
          </c:extLst>
        </c:ser>
        <c:ser>
          <c:idx val="6"/>
          <c:order val="6"/>
          <c:tx>
            <c:strRef>
              <c:f>'PERDAS (TIPO)'!$E$10</c:f>
              <c:strCache>
                <c:ptCount val="1"/>
                <c:pt idx="0">
                  <c:v>7 - Inspeções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7622698035069169E-3"/>
                  <c:y val="-1.734900120642881E-3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C7-4ECE-A7E2-EF14D6AD7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'PERDAS (TIPO)'!$F$2:$K$3</c:f>
              <c:multiLvlStrCache>
                <c:ptCount val="6"/>
                <c:lvl>
                  <c:pt idx="0">
                    <c:v>JAN
FEV</c:v>
                  </c:pt>
                  <c:pt idx="1">
                    <c:v>MAR
ABR</c:v>
                  </c:pt>
                  <c:pt idx="2">
                    <c:v>MAI
JUN</c:v>
                  </c:pt>
                  <c:pt idx="3">
                    <c:v>JUL
AGO</c:v>
                  </c:pt>
                  <c:pt idx="4">
                    <c:v>SET
OUT</c:v>
                  </c:pt>
                  <c:pt idx="5">
                    <c:v>NOV
DEZ</c:v>
                  </c:pt>
                </c:lvl>
                <c:lvl>
                  <c:pt idx="0">
                    <c:v>ACOMPANHAMENTO MENSAL  - 2026</c:v>
                  </c:pt>
                </c:lvl>
              </c:multiLvlStrCache>
            </c:multiLvlStrRef>
          </c:cat>
          <c:val>
            <c:numRef>
              <c:f>'PERDAS (TIPO)'!$F$10:$K$10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30-43C8-BD76-6119FF53B4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950423199"/>
        <c:axId val="1950427359"/>
      </c:barChart>
      <c:catAx>
        <c:axId val="19504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427359"/>
        <c:crosses val="autoZero"/>
        <c:auto val="1"/>
        <c:lblAlgn val="ctr"/>
        <c:lblOffset val="100"/>
        <c:noMultiLvlLbl val="0"/>
      </c:catAx>
      <c:valAx>
        <c:axId val="19504273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042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289339660357039E-2"/>
          <c:y val="0.89831663398571826"/>
          <c:w val="0.88591124784898578"/>
          <c:h val="9.30295205156329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1</xdr:row>
      <xdr:rowOff>3808</xdr:rowOff>
    </xdr:from>
    <xdr:to>
      <xdr:col>12</xdr:col>
      <xdr:colOff>7263765</xdr:colOff>
      <xdr:row>24</xdr:row>
      <xdr:rowOff>14392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abSelected="1" workbookViewId="0">
      <selection activeCell="D21" sqref="D21:K21"/>
    </sheetView>
  </sheetViews>
  <sheetFormatPr defaultColWidth="0" defaultRowHeight="15" customHeight="1" zeroHeight="1"/>
  <cols>
    <col min="1" max="1" width="0.85546875" style="4" customWidth="1"/>
    <col min="2" max="2" width="1.5703125" customWidth="1"/>
    <col min="3" max="3" width="16.140625" customWidth="1"/>
    <col min="4" max="4" width="9.42578125" customWidth="1"/>
    <col min="5" max="5" width="19.7109375" customWidth="1"/>
    <col min="6" max="11" width="6.42578125" customWidth="1"/>
    <col min="12" max="12" width="1" customWidth="1"/>
    <col min="13" max="13" width="110.28515625" customWidth="1"/>
    <col min="14" max="20" width="0" hidden="1" customWidth="1"/>
    <col min="21" max="16384" width="9.140625" hidden="1"/>
  </cols>
  <sheetData>
    <row r="1" spans="1:1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customHeight="1">
      <c r="B2" s="2"/>
      <c r="C2" s="20" t="s">
        <v>0</v>
      </c>
      <c r="D2" s="22" t="s">
        <v>1</v>
      </c>
      <c r="E2" s="24" t="s">
        <v>2</v>
      </c>
      <c r="F2" s="26" t="s">
        <v>3</v>
      </c>
      <c r="G2" s="26"/>
      <c r="H2" s="26"/>
      <c r="I2" s="26"/>
      <c r="J2" s="26"/>
      <c r="K2" s="26"/>
      <c r="L2" s="2"/>
      <c r="M2" s="27"/>
    </row>
    <row r="3" spans="1:13" ht="30">
      <c r="B3" s="2"/>
      <c r="C3" s="21"/>
      <c r="D3" s="23"/>
      <c r="E3" s="25"/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2"/>
      <c r="M3" s="27"/>
    </row>
    <row r="4" spans="1:13" s="1" customFormat="1">
      <c r="A4" s="5"/>
      <c r="B4" s="3"/>
      <c r="C4" s="28" t="s">
        <v>10</v>
      </c>
      <c r="D4" s="31" t="s">
        <v>11</v>
      </c>
      <c r="E4" s="8" t="s">
        <v>12</v>
      </c>
      <c r="F4" s="6">
        <f>9+10</f>
        <v>19</v>
      </c>
      <c r="G4" s="6">
        <f>11+1+1+2+1+1+1+1+1+1+1</f>
        <v>22</v>
      </c>
      <c r="H4" s="6">
        <f>3+7</f>
        <v>10</v>
      </c>
      <c r="I4" s="6">
        <f>21+12</f>
        <v>33</v>
      </c>
      <c r="J4" s="6" t="s">
        <v>13</v>
      </c>
      <c r="K4" s="6"/>
      <c r="L4" s="3"/>
      <c r="M4" s="27"/>
    </row>
    <row r="5" spans="1:13" s="1" customFormat="1">
      <c r="A5" s="5"/>
      <c r="B5" s="3"/>
      <c r="C5" s="29"/>
      <c r="D5" s="31"/>
      <c r="E5" s="8" t="s">
        <v>14</v>
      </c>
      <c r="F5" s="6">
        <f>0+0</f>
        <v>0</v>
      </c>
      <c r="G5" s="6">
        <f>0</f>
        <v>0</v>
      </c>
      <c r="H5" s="6">
        <v>0</v>
      </c>
      <c r="I5" s="6">
        <v>1</v>
      </c>
      <c r="J5" s="6" t="s">
        <v>13</v>
      </c>
      <c r="K5" s="6"/>
      <c r="L5" s="3"/>
      <c r="M5" s="27"/>
    </row>
    <row r="6" spans="1:13" s="1" customFormat="1">
      <c r="A6" s="5"/>
      <c r="B6" s="3"/>
      <c r="C6" s="29"/>
      <c r="D6" s="31"/>
      <c r="E6" s="8" t="s">
        <v>15</v>
      </c>
      <c r="F6" s="6">
        <f>20+10</f>
        <v>30</v>
      </c>
      <c r="G6" s="6">
        <f>18+1+1+1+2+3+1+1+1+1+1+4+1+2</f>
        <v>38</v>
      </c>
      <c r="H6" s="6">
        <f>6+18</f>
        <v>24</v>
      </c>
      <c r="I6" s="6">
        <f>9+10</f>
        <v>19</v>
      </c>
      <c r="J6" s="6" t="s">
        <v>13</v>
      </c>
      <c r="K6" s="6"/>
      <c r="L6" s="3"/>
      <c r="M6" s="27"/>
    </row>
    <row r="7" spans="1:13" s="1" customFormat="1">
      <c r="A7" s="5"/>
      <c r="B7" s="3"/>
      <c r="C7" s="29"/>
      <c r="D7" s="31"/>
      <c r="E7" s="8" t="s">
        <v>16</v>
      </c>
      <c r="F7" s="6">
        <f>0+0</f>
        <v>0</v>
      </c>
      <c r="G7" s="6">
        <f>0</f>
        <v>0</v>
      </c>
      <c r="H7" s="6">
        <v>0</v>
      </c>
      <c r="I7" s="6">
        <v>1</v>
      </c>
      <c r="J7" s="6" t="s">
        <v>13</v>
      </c>
      <c r="K7" s="6"/>
      <c r="L7" s="3"/>
      <c r="M7" s="27"/>
    </row>
    <row r="8" spans="1:13" s="1" customFormat="1">
      <c r="A8" s="5"/>
      <c r="B8" s="3"/>
      <c r="C8" s="29"/>
      <c r="D8" s="31"/>
      <c r="E8" s="8" t="s">
        <v>17</v>
      </c>
      <c r="F8" s="6">
        <f>0+0</f>
        <v>0</v>
      </c>
      <c r="G8" s="6">
        <f>0</f>
        <v>0</v>
      </c>
      <c r="H8" s="6">
        <f>0+1</f>
        <v>1</v>
      </c>
      <c r="I8" s="6">
        <v>0</v>
      </c>
      <c r="J8" s="6" t="s">
        <v>13</v>
      </c>
      <c r="K8" s="6"/>
      <c r="L8" s="3"/>
      <c r="M8" s="27"/>
    </row>
    <row r="9" spans="1:13" s="1" customFormat="1">
      <c r="A9" s="5"/>
      <c r="B9" s="3"/>
      <c r="C9" s="29"/>
      <c r="D9" s="31"/>
      <c r="E9" s="8" t="s">
        <v>18</v>
      </c>
      <c r="F9" s="6">
        <f>4+3</f>
        <v>7</v>
      </c>
      <c r="G9" s="6">
        <f>1+1+1+1</f>
        <v>4</v>
      </c>
      <c r="H9" s="6">
        <f>2+2</f>
        <v>4</v>
      </c>
      <c r="I9" s="6">
        <f>3+3</f>
        <v>6</v>
      </c>
      <c r="J9" s="6" t="s">
        <v>13</v>
      </c>
      <c r="K9" s="6"/>
      <c r="L9" s="3"/>
      <c r="M9" s="27"/>
    </row>
    <row r="10" spans="1:13" s="1" customFormat="1">
      <c r="A10" s="5"/>
      <c r="B10" s="3"/>
      <c r="C10" s="30"/>
      <c r="D10" s="31"/>
      <c r="E10" s="8" t="s">
        <v>19</v>
      </c>
      <c r="F10" s="6">
        <f>0</f>
        <v>0</v>
      </c>
      <c r="G10" s="6">
        <f>1+1+1+2+1+3+1</f>
        <v>10</v>
      </c>
      <c r="H10" s="6">
        <f>1+1+1+1+1</f>
        <v>5</v>
      </c>
      <c r="I10" s="6">
        <v>4</v>
      </c>
      <c r="J10" s="6"/>
      <c r="K10" s="6"/>
      <c r="L10" s="3"/>
      <c r="M10" s="27"/>
    </row>
    <row r="11" spans="1:13" ht="7.5" customHeight="1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>
      <c r="B12" s="2"/>
      <c r="C12" s="9" t="s">
        <v>20</v>
      </c>
      <c r="D12" s="32" t="s">
        <v>21</v>
      </c>
      <c r="E12" s="32"/>
      <c r="F12" s="32"/>
      <c r="G12" s="32"/>
      <c r="H12" s="32"/>
      <c r="I12" s="32"/>
      <c r="J12" s="32"/>
      <c r="K12" s="32"/>
      <c r="L12" s="2"/>
      <c r="M12" s="27"/>
    </row>
    <row r="13" spans="1:13" ht="15.75">
      <c r="B13" s="2"/>
      <c r="C13" s="10" t="s">
        <v>22</v>
      </c>
      <c r="D13" s="33" t="s">
        <v>23</v>
      </c>
      <c r="E13" s="34"/>
      <c r="F13" s="34"/>
      <c r="G13" s="34"/>
      <c r="H13" s="34"/>
      <c r="I13" s="34"/>
      <c r="J13" s="34"/>
      <c r="K13" s="35"/>
      <c r="L13" s="2"/>
      <c r="M13" s="27"/>
    </row>
    <row r="14" spans="1:13" ht="15.75">
      <c r="B14" s="2"/>
      <c r="C14" s="10" t="s">
        <v>24</v>
      </c>
      <c r="D14" s="33" t="s">
        <v>23</v>
      </c>
      <c r="E14" s="34"/>
      <c r="F14" s="34"/>
      <c r="G14" s="34"/>
      <c r="H14" s="34"/>
      <c r="I14" s="34"/>
      <c r="J14" s="34"/>
      <c r="K14" s="35"/>
      <c r="L14" s="2"/>
      <c r="M14" s="27"/>
    </row>
    <row r="15" spans="1:13" ht="15.75">
      <c r="B15" s="2" t="s">
        <v>25</v>
      </c>
      <c r="C15" s="10" t="s">
        <v>26</v>
      </c>
      <c r="D15" s="33" t="s">
        <v>23</v>
      </c>
      <c r="E15" s="34"/>
      <c r="F15" s="34"/>
      <c r="G15" s="34"/>
      <c r="H15" s="34"/>
      <c r="I15" s="34"/>
      <c r="J15" s="34"/>
      <c r="K15" s="35"/>
      <c r="L15" s="2"/>
      <c r="M15" s="27"/>
    </row>
    <row r="16" spans="1:13" ht="15.75">
      <c r="B16" s="2"/>
      <c r="C16" s="10" t="s">
        <v>27</v>
      </c>
      <c r="D16" s="36" t="s">
        <v>23</v>
      </c>
      <c r="E16" s="37"/>
      <c r="F16" s="37"/>
      <c r="G16" s="37"/>
      <c r="H16" s="37"/>
      <c r="I16" s="37"/>
      <c r="J16" s="37"/>
      <c r="K16" s="38"/>
      <c r="L16" s="2"/>
      <c r="M16" s="27"/>
    </row>
    <row r="17" spans="2:13" ht="15.75">
      <c r="B17" s="2"/>
      <c r="C17" s="10" t="s">
        <v>28</v>
      </c>
      <c r="D17" s="17" t="s">
        <v>23</v>
      </c>
      <c r="E17" s="18"/>
      <c r="F17" s="18"/>
      <c r="G17" s="18"/>
      <c r="H17" s="18"/>
      <c r="I17" s="18"/>
      <c r="J17" s="18"/>
      <c r="K17" s="19"/>
      <c r="L17" s="2"/>
      <c r="M17" s="27"/>
    </row>
    <row r="18" spans="2:13" ht="15.75">
      <c r="B18" s="2"/>
      <c r="C18" s="10" t="s">
        <v>29</v>
      </c>
      <c r="D18" s="17" t="s">
        <v>23</v>
      </c>
      <c r="E18" s="18"/>
      <c r="F18" s="18"/>
      <c r="G18" s="18"/>
      <c r="H18" s="18"/>
      <c r="I18" s="18"/>
      <c r="J18" s="18"/>
      <c r="K18" s="19"/>
      <c r="L18" s="2"/>
      <c r="M18" s="27"/>
    </row>
    <row r="19" spans="2:13" ht="15.75">
      <c r="B19" s="2"/>
      <c r="C19" s="10" t="s">
        <v>30</v>
      </c>
      <c r="D19" s="11" t="s">
        <v>23</v>
      </c>
      <c r="E19" s="12"/>
      <c r="F19" s="12"/>
      <c r="G19" s="12"/>
      <c r="H19" s="12"/>
      <c r="I19" s="12"/>
      <c r="J19" s="12"/>
      <c r="K19" s="13"/>
      <c r="L19" s="2"/>
      <c r="M19" s="27"/>
    </row>
    <row r="20" spans="2:13" ht="15.75">
      <c r="B20" s="2"/>
      <c r="C20" s="10" t="s">
        <v>31</v>
      </c>
      <c r="D20" s="14" t="s">
        <v>23</v>
      </c>
      <c r="E20" s="15"/>
      <c r="F20" s="15"/>
      <c r="G20" s="15"/>
      <c r="H20" s="15"/>
      <c r="I20" s="15"/>
      <c r="J20" s="15"/>
      <c r="K20" s="16"/>
      <c r="L20" s="2"/>
      <c r="M20" s="27"/>
    </row>
    <row r="21" spans="2:13" ht="15.75">
      <c r="B21" s="2"/>
      <c r="C21" s="10" t="s">
        <v>32</v>
      </c>
      <c r="D21" s="17"/>
      <c r="E21" s="18"/>
      <c r="F21" s="18"/>
      <c r="G21" s="18"/>
      <c r="H21" s="18"/>
      <c r="I21" s="18"/>
      <c r="J21" s="18"/>
      <c r="K21" s="19"/>
      <c r="L21" s="2"/>
      <c r="M21" s="27"/>
    </row>
    <row r="22" spans="2:13" ht="15.75">
      <c r="B22" s="2" t="s">
        <v>25</v>
      </c>
      <c r="C22" s="10" t="s">
        <v>33</v>
      </c>
      <c r="D22" s="17"/>
      <c r="E22" s="18"/>
      <c r="F22" s="18"/>
      <c r="G22" s="18"/>
      <c r="H22" s="18"/>
      <c r="I22" s="18"/>
      <c r="J22" s="18"/>
      <c r="K22" s="19"/>
      <c r="L22" s="2"/>
      <c r="M22" s="27"/>
    </row>
    <row r="23" spans="2:13" ht="15.75">
      <c r="B23" s="2"/>
      <c r="C23" s="10" t="s">
        <v>34</v>
      </c>
      <c r="D23" s="17"/>
      <c r="E23" s="18"/>
      <c r="F23" s="18"/>
      <c r="G23" s="18"/>
      <c r="H23" s="18"/>
      <c r="I23" s="18"/>
      <c r="J23" s="18"/>
      <c r="K23" s="19"/>
      <c r="L23" s="2"/>
      <c r="M23" s="27"/>
    </row>
    <row r="24" spans="2:13" ht="15.75">
      <c r="B24" s="2"/>
      <c r="C24" s="10" t="s">
        <v>35</v>
      </c>
      <c r="D24" s="17"/>
      <c r="E24" s="18"/>
      <c r="F24" s="18"/>
      <c r="G24" s="18"/>
      <c r="H24" s="18"/>
      <c r="I24" s="18"/>
      <c r="J24" s="18"/>
      <c r="K24" s="19"/>
      <c r="L24" s="2"/>
      <c r="M24" s="27"/>
    </row>
    <row r="25" spans="2:13" ht="12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7"/>
    </row>
  </sheetData>
  <mergeCells count="21">
    <mergeCell ref="C2:C3"/>
    <mergeCell ref="D2:D3"/>
    <mergeCell ref="E2:E3"/>
    <mergeCell ref="F2:K2"/>
    <mergeCell ref="M2:M25"/>
    <mergeCell ref="C4:C10"/>
    <mergeCell ref="D4:D10"/>
    <mergeCell ref="B11:L11"/>
    <mergeCell ref="D12:K12"/>
    <mergeCell ref="D13:K13"/>
    <mergeCell ref="D15:K15"/>
    <mergeCell ref="D14:K14"/>
    <mergeCell ref="D16:K16"/>
    <mergeCell ref="D17:K17"/>
    <mergeCell ref="D18:K18"/>
    <mergeCell ref="D24:K24"/>
    <mergeCell ref="D19:K19"/>
    <mergeCell ref="D20:K20"/>
    <mergeCell ref="D21:K21"/>
    <mergeCell ref="D22:K22"/>
    <mergeCell ref="D23:K2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665A30329B3948B900B5D2622C9D6B" ma:contentTypeVersion="17" ma:contentTypeDescription="Criar um novo documento." ma:contentTypeScope="" ma:versionID="64633014b3912eb26cd8669b81d9ea3a">
  <xsd:schema xmlns:xsd="http://www.w3.org/2001/XMLSchema" xmlns:xs="http://www.w3.org/2001/XMLSchema" xmlns:p="http://schemas.microsoft.com/office/2006/metadata/properties" xmlns:ns2="483d42cc-9d03-42bd-bd28-a5d9c2be3306" xmlns:ns3="f6064642-ad38-4ca5-b2fe-a6757f19c2a2" targetNamespace="http://schemas.microsoft.com/office/2006/metadata/properties" ma:root="true" ma:fieldsID="6104d0614175e96be36bf84e9137a1fb" ns2:_="" ns3:_="">
    <xsd:import namespace="483d42cc-9d03-42bd-bd28-a5d9c2be3306"/>
    <xsd:import namespace="f6064642-ad38-4ca5-b2fe-a6757f19c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42cc-9d03-42bd-bd28-a5d9c2be3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8f40964-7409-4f20-9b58-06660137aa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4642-ad38-4ca5-b2fe-a6757f19c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eb5cdb1-4f7c-4b0e-9ea0-ee2e98b9c687}" ma:internalName="TaxCatchAll" ma:showField="CatchAllData" ma:web="f6064642-ad38-4ca5-b2fe-a6757f19c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64642-ad38-4ca5-b2fe-a6757f19c2a2" xsi:nil="true"/>
    <lcf76f155ced4ddcb4097134ff3c332f xmlns="483d42cc-9d03-42bd-bd28-a5d9c2be33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7F2B98-57C0-4BCC-B1CC-272F4C42CE3D}"/>
</file>

<file path=customXml/itemProps2.xml><?xml version="1.0" encoding="utf-8"?>
<ds:datastoreItem xmlns:ds="http://schemas.openxmlformats.org/officeDocument/2006/customXml" ds:itemID="{60D1DF65-2C10-4F71-9F49-7108FA4EA050}"/>
</file>

<file path=customXml/itemProps3.xml><?xml version="1.0" encoding="utf-8"?>
<ds:datastoreItem xmlns:ds="http://schemas.openxmlformats.org/officeDocument/2006/customXml" ds:itemID="{EAD20634-30CA-4964-A3AF-7D2032D29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Amanda - Qualidade (Sinergia Agro)</cp:lastModifiedBy>
  <cp:revision/>
  <dcterms:created xsi:type="dcterms:W3CDTF">2018-09-27T14:20:54Z</dcterms:created>
  <dcterms:modified xsi:type="dcterms:W3CDTF">2026-09-04T17:24:48Z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0x01010034665A30329B3948B900B5D2622C9D6B</vt:lpwstr>
  </property>
  <property fmtid="{D5CDD505-2E9C-101B-9397-08002B2CF9AE}" pid="3" name="MediaServiceImageTags">
    <vt:lpwstr/>
  </property>
</Properties>
</file>