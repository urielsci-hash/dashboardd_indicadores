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sinergiaagrobrasil.sharepoint.com/sites/GERAL/Documentos Partilhados/GERAL/SINERGIA_ISO9001/SINERGIA_Indicadores/INDICADORES 2026/"/>
    </mc:Choice>
  </mc:AlternateContent>
  <xr:revisionPtr revIDLastSave="115" documentId="11_5238DB640CEF63F847366F177D4F61785CCADA2E" xr6:coauthVersionLast="47" xr6:coauthVersionMax="47" xr10:uidLastSave="{DAB17958-97FA-4A4C-8F37-F3E2C6DCB5BC}"/>
  <bookViews>
    <workbookView xWindow="-120" yWindow="-120" windowWidth="20730" windowHeight="11040" tabRatio="500" xr2:uid="{00000000-000D-0000-FFFF-FFFF00000000}"/>
  </bookViews>
  <sheets>
    <sheet name="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" i="1" l="1"/>
  <c r="Q9" i="1"/>
  <c r="P9" i="1"/>
  <c r="O9" i="1"/>
  <c r="N9" i="1"/>
  <c r="L9" i="1"/>
  <c r="K9" i="1"/>
  <c r="J9" i="1"/>
  <c r="I9" i="1"/>
  <c r="H9" i="1"/>
  <c r="G9" i="1"/>
  <c r="F9" i="1"/>
  <c r="Q8" i="1"/>
  <c r="Q10" i="1" s="1"/>
  <c r="P8" i="1"/>
  <c r="O8" i="1"/>
  <c r="L8" i="1"/>
  <c r="K8" i="1"/>
  <c r="J8" i="1"/>
  <c r="I8" i="1"/>
  <c r="H8" i="1"/>
  <c r="G8" i="1"/>
  <c r="F8" i="1"/>
  <c r="M9" i="1"/>
  <c r="N8" i="1"/>
  <c r="M8" i="1"/>
  <c r="P10" i="1" l="1"/>
  <c r="O10" i="1"/>
  <c r="N10" i="1"/>
  <c r="L10" i="1"/>
  <c r="K10" i="1"/>
  <c r="J10" i="1"/>
  <c r="I10" i="1"/>
  <c r="H10" i="1"/>
  <c r="G10" i="1"/>
  <c r="F10" i="1"/>
  <c r="M10" i="1"/>
</calcChain>
</file>

<file path=xl/sharedStrings.xml><?xml version="1.0" encoding="utf-8"?>
<sst xmlns="http://schemas.openxmlformats.org/spreadsheetml/2006/main" count="47" uniqueCount="41">
  <si>
    <t>OBJETIVO</t>
  </si>
  <si>
    <t>META</t>
  </si>
  <si>
    <t>DADOS</t>
  </si>
  <si>
    <t xml:space="preserve">ACOMPANHAMENTO </t>
  </si>
  <si>
    <t>ENTREGAR A PRODUÇÃO NO PRAZO PLANEJADO</t>
  </si>
  <si>
    <r>
      <rPr>
        <u/>
        <sz val="15"/>
        <color theme="0"/>
        <rFont val="Calibri"/>
        <family val="2"/>
        <charset val="1"/>
      </rPr>
      <t>&gt;</t>
    </r>
    <r>
      <rPr>
        <sz val="15"/>
        <color theme="0"/>
        <rFont val="Calibri"/>
        <family val="2"/>
        <charset val="1"/>
      </rPr>
      <t xml:space="preserve"> </t>
    </r>
    <r>
      <rPr>
        <sz val="12"/>
        <color theme="0"/>
        <rFont val="Calibri"/>
        <family val="2"/>
        <charset val="1"/>
      </rPr>
      <t>90 % Mensal</t>
    </r>
  </si>
  <si>
    <t>Descrição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</si>
  <si>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</si>
  <si>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</si>
  <si>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</si>
  <si>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</si>
  <si>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</si>
  <si>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</si>
  <si>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</si>
  <si>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</si>
  <si>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</si>
  <si>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</si>
  <si>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</si>
  <si>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</si>
  <si>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de OP Programadas</t>
  </si>
  <si>
    <t>Total de OP no Prazo</t>
  </si>
  <si>
    <t>Total de OF Programadas</t>
  </si>
  <si>
    <t>Total de OF no Prazo</t>
  </si>
  <si>
    <t>% OP no Prazo</t>
  </si>
  <si>
    <t>% OF no Prazo</t>
  </si>
  <si>
    <t>% Entrega no Prazo Progamado</t>
  </si>
  <si>
    <t>MÊS</t>
  </si>
  <si>
    <t>AÇÃO REALIZADA</t>
  </si>
  <si>
    <t>JANEIRO</t>
  </si>
  <si>
    <t>Sem ação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</si>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</sst>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12">
    <font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2"/>
      <color theme="0"/>
      <name val="Calibri"/>
      <family val="2"/>
      <charset val="1"/>
    </font>
    <font>
      <sz val="12"/>
      <name val="Arial"/>
      <family val="2"/>
      <charset val="1"/>
    </font>
    <font>
      <sz val="10"/>
      <color theme="0"/>
      <name val="Calibri"/>
      <family val="2"/>
      <charset val="1"/>
    </font>
    <font>
      <u/>
      <sz val="15"/>
      <color theme="0"/>
      <name val="Calibri"/>
      <family val="2"/>
      <charset val="1"/>
    </font>
    <font>
      <sz val="15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sz val="9"/>
      <color theme="0"/>
      <name val="Arial"/>
      <family val="2"/>
      <charset val="1"/>
    </font>
    <font>
      <sz val="8"/>
      <color theme="0"/>
      <name val="Arial"/>
      <family val="2"/>
      <charset val="1"/>
    </font>
    <font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rgb="FFD9D9D9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B3B3B3"/>
      </patternFill>
    </fill>
    <fill>
      <patternFill patternType="solid">
        <fgColor theme="0" tint="-0.249977111117893"/>
        <bgColor rgb="FFB3B3B3"/>
      </patternFill>
    </fill>
    <fill>
      <patternFill patternType="solid">
        <fgColor theme="0"/>
        <bgColor rgb="FFE7E6E6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2" borderId="0" xfId="0" applyFont="1" applyFill="1"/>
    <xf numFmtId="0" fontId="4" fillId="3" borderId="0" xfId="0" applyFont="1" applyFill="1"/>
    <xf numFmtId="0" fontId="9" fillId="4" borderId="4" xfId="0" applyFont="1" applyFill="1" applyBorder="1" applyAlignment="1">
      <alignment horizontal="left"/>
    </xf>
    <xf numFmtId="164" fontId="10" fillId="4" borderId="4" xfId="0" applyNumberFormat="1" applyFont="1" applyFill="1" applyBorder="1" applyAlignment="1">
      <alignment horizontal="center"/>
    </xf>
    <xf numFmtId="0" fontId="4" fillId="0" borderId="0" xfId="0" applyFont="1"/>
    <xf numFmtId="3" fontId="9" fillId="4" borderId="4" xfId="0" applyNumberFormat="1" applyFont="1" applyFill="1" applyBorder="1" applyAlignment="1">
      <alignment horizontal="left"/>
    </xf>
    <xf numFmtId="0" fontId="11" fillId="0" borderId="4" xfId="0" applyFont="1" applyBorder="1" applyAlignment="1" applyProtection="1">
      <alignment horizontal="center"/>
      <protection locked="0"/>
    </xf>
    <xf numFmtId="3" fontId="4" fillId="2" borderId="0" xfId="0" applyNumberFormat="1" applyFont="1" applyFill="1"/>
    <xf numFmtId="3" fontId="4" fillId="3" borderId="0" xfId="0" applyNumberFormat="1" applyFont="1" applyFill="1"/>
    <xf numFmtId="3" fontId="11" fillId="0" borderId="4" xfId="0" applyNumberFormat="1" applyFont="1" applyBorder="1" applyAlignment="1" applyProtection="1">
      <alignment horizontal="center"/>
      <protection locked="0"/>
    </xf>
    <xf numFmtId="3" fontId="4" fillId="0" borderId="0" xfId="0" applyNumberFormat="1" applyFont="1"/>
    <xf numFmtId="2" fontId="4" fillId="2" borderId="0" xfId="0" applyNumberFormat="1" applyFont="1" applyFill="1"/>
    <xf numFmtId="2" fontId="4" fillId="3" borderId="0" xfId="0" applyNumberFormat="1" applyFont="1" applyFill="1"/>
    <xf numFmtId="2" fontId="9" fillId="4" borderId="4" xfId="0" applyNumberFormat="1" applyFont="1" applyFill="1" applyBorder="1" applyAlignment="1">
      <alignment horizontal="left"/>
    </xf>
    <xf numFmtId="9" fontId="11" fillId="5" borderId="4" xfId="0" applyNumberFormat="1" applyFont="1" applyFill="1" applyBorder="1" applyAlignment="1">
      <alignment horizontal="center"/>
    </xf>
    <xf numFmtId="2" fontId="4" fillId="0" borderId="0" xfId="0" applyNumberFormat="1" applyFont="1"/>
    <xf numFmtId="0" fontId="2" fillId="4" borderId="5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0" fillId="6" borderId="6" xfId="0" applyFill="1" applyBorder="1" applyAlignment="1" applyProtection="1">
      <alignment horizontal="center" wrapText="1"/>
      <protection locked="0"/>
    </xf>
    <xf numFmtId="0" fontId="0" fillId="6" borderId="6" xfId="0" applyFill="1" applyBorder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6" borderId="6" xfId="0" applyFill="1" applyBorder="1" applyAlignment="1" applyProtection="1">
      <alignment horizontal="center" vertical="center"/>
      <protection locked="0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0" fillId="6" borderId="4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082CA"/>
      <rgbColor rgb="FF9999FF"/>
      <rgbColor rgb="FF993366"/>
      <rgbColor rgb="FFE7E6E6"/>
      <rgbColor rgb="FFCCFFFF"/>
      <rgbColor rgb="FF660066"/>
      <rgbColor rgb="FFFF8080"/>
      <rgbColor rgb="FF4472C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2F61BA"/>
      <rgbColor rgb="FF33CCCC"/>
      <rgbColor rgb="FF92D050"/>
      <rgbColor rgb="FFFFCC00"/>
      <rgbColor rgb="FFFF9900"/>
      <rgbColor rgb="FFFF6600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2644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1" u="none" strike="noStrike">
                <a:solidFill>
                  <a:srgbClr val="FFFFFF"/>
                </a:solidFill>
                <a:uFillTx/>
                <a:latin typeface="Calibri"/>
              </a:rPr>
              <a:t> </a:t>
            </a:r>
            <a:r>
              <a:rPr lang="pt-BR" sz="1400" b="1" u="none" strike="noStrike">
                <a:solidFill>
                  <a:srgbClr val="000000"/>
                </a:solidFill>
                <a:uFillTx/>
                <a:latin typeface="Calibri"/>
              </a:rPr>
              <a:t>Indicador Produção_ 2026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1" u="none" strike="noStrike">
                <a:solidFill>
                  <a:srgbClr val="000000"/>
                </a:solidFill>
                <a:uFillTx/>
                <a:latin typeface="Calibri"/>
              </a:rPr>
              <a:t>Objetivo: Entregar a Produção no Prazo Planejado  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1" u="none" strike="noStrike">
                <a:solidFill>
                  <a:srgbClr val="000000"/>
                </a:solidFill>
                <a:uFillTx/>
                <a:latin typeface="Calibri"/>
              </a:rPr>
              <a:t>Meta: </a:t>
            </a:r>
            <a:r>
              <a:rPr lang="pt-BR" sz="1400" b="1" u="sng" strike="noStrike">
                <a:solidFill>
                  <a:srgbClr val="000000"/>
                </a:solidFill>
                <a:uFillTx/>
                <a:latin typeface="Calibri"/>
              </a:rPr>
              <a:t>&gt;</a:t>
            </a:r>
            <a:r>
              <a:rPr lang="pt-BR" sz="1400" b="1" u="none" strike="noStrike">
                <a:solidFill>
                  <a:srgbClr val="000000"/>
                </a:solidFill>
                <a:uFillTx/>
                <a:latin typeface="Calibri"/>
              </a:rPr>
              <a:t>90 %  Mensal</a:t>
            </a:r>
          </a:p>
        </c:rich>
      </c:tx>
      <c:layout>
        <c:manualLayout>
          <c:xMode val="edge"/>
          <c:yMode val="edge"/>
          <c:x val="0.30294171386808"/>
          <c:y val="1.1987307556704701E-2"/>
        </c:manualLayout>
      </c:layout>
      <c:overlay val="0"/>
      <c:spPr>
        <a:gradFill>
          <a:gsLst>
            <a:gs pos="0">
              <a:srgbClr val="6082CA"/>
            </a:gs>
            <a:gs pos="50000">
              <a:srgbClr val="3D6FC9"/>
            </a:gs>
            <a:gs pos="100000">
              <a:srgbClr val="2F61BA"/>
            </a:gs>
          </a:gsLst>
          <a:lin ang="5400000"/>
        </a:gradFill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1149278275168999E-2"/>
          <c:y val="0.18374662122458599"/>
          <c:w val="0.94943358304403402"/>
          <c:h val="0.663297684804325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'2026'!$E$8</c:f>
              <c:strCache>
                <c:ptCount val="1"/>
                <c:pt idx="0">
                  <c:v>% OP no Prazo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'2026'!$F$3:$Q$3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'2026'!$F$8:$Q$8</c:f>
              <c:numCache>
                <c:formatCode>0%</c:formatCode>
                <c:ptCount val="12"/>
                <c:pt idx="0">
                  <c:v>0.9726027397260274</c:v>
                </c:pt>
                <c:pt idx="1">
                  <c:v>0.91089108910891092</c:v>
                </c:pt>
                <c:pt idx="2">
                  <c:v>0.93913043478260871</c:v>
                </c:pt>
                <c:pt idx="3">
                  <c:v>0.96551724137931039</c:v>
                </c:pt>
                <c:pt idx="4">
                  <c:v>0.86111111111111116</c:v>
                </c:pt>
                <c:pt idx="5">
                  <c:v>0.89898989898989901</c:v>
                </c:pt>
                <c:pt idx="6">
                  <c:v>0.87155963302752293</c:v>
                </c:pt>
                <c:pt idx="7">
                  <c:v>0.88617886178861793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7-451F-92B5-87748287F225}"/>
            </c:ext>
          </c:extLst>
        </c:ser>
        <c:ser>
          <c:idx val="1"/>
          <c:order val="1"/>
          <c:tx>
            <c:strRef>
              <c:f>'2026'!$E$9</c:f>
              <c:strCache>
                <c:ptCount val="1"/>
                <c:pt idx="0">
                  <c:v>% OF no Prazo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'2026'!$F$3:$Q$3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'2026'!$F$9:$Q$9</c:f>
              <c:numCache>
                <c:formatCode>0%</c:formatCode>
                <c:ptCount val="12"/>
                <c:pt idx="0">
                  <c:v>0.9285714285714286</c:v>
                </c:pt>
                <c:pt idx="1">
                  <c:v>1</c:v>
                </c:pt>
                <c:pt idx="2">
                  <c:v>0.92500000000000004</c:v>
                </c:pt>
                <c:pt idx="3">
                  <c:v>0.90625</c:v>
                </c:pt>
                <c:pt idx="4">
                  <c:v>0.94285714285714284</c:v>
                </c:pt>
                <c:pt idx="5">
                  <c:v>0.91139240506329111</c:v>
                </c:pt>
                <c:pt idx="6">
                  <c:v>0.84615384615384615</c:v>
                </c:pt>
                <c:pt idx="7">
                  <c:v>0.92380952380952386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7-451F-92B5-87748287F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"/>
        <c:axId val="2404523"/>
        <c:axId val="11662773"/>
      </c:barChart>
      <c:lineChart>
        <c:grouping val="standard"/>
        <c:varyColors val="0"/>
        <c:ser>
          <c:idx val="2"/>
          <c:order val="2"/>
          <c:tx>
            <c:strRef>
              <c:f>'2026'!$E$10</c:f>
              <c:strCache>
                <c:ptCount val="1"/>
                <c:pt idx="0">
                  <c:v>% Entrega no Prazo Progamado</c:v>
                </c:pt>
              </c:strCache>
            </c:strRef>
          </c:tx>
          <c:spPr>
            <a:ln w="19080" cap="rnd">
              <a:solidFill>
                <a:srgbClr val="264478"/>
              </a:solidFill>
              <a:round/>
            </a:ln>
          </c:spPr>
          <c:marker>
            <c:symbol val="none"/>
          </c:marker>
          <c:dLbls>
            <c:spPr>
              <a:solidFill>
                <a:srgbClr val="FFC000"/>
              </a:solidFill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'2026'!$F$3:$Q$3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'2026'!$F$10:$Q$10</c:f>
              <c:numCache>
                <c:formatCode>0%</c:formatCode>
                <c:ptCount val="12"/>
                <c:pt idx="0">
                  <c:v>0.95058708414872806</c:v>
                </c:pt>
                <c:pt idx="1">
                  <c:v>0.95544554455445541</c:v>
                </c:pt>
                <c:pt idx="2">
                  <c:v>0.93206521739130443</c:v>
                </c:pt>
                <c:pt idx="3">
                  <c:v>0.93588362068965525</c:v>
                </c:pt>
                <c:pt idx="4">
                  <c:v>0.901984126984127</c:v>
                </c:pt>
                <c:pt idx="5">
                  <c:v>0.90519115202659506</c:v>
                </c:pt>
                <c:pt idx="6">
                  <c:v>0.85885673959068454</c:v>
                </c:pt>
                <c:pt idx="7">
                  <c:v>0.9049941927990709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17-451F-92B5-87748287F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404523"/>
        <c:axId val="11662773"/>
      </c:lineChart>
      <c:catAx>
        <c:axId val="24045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pt-BR"/>
          </a:p>
        </c:txPr>
        <c:crossAx val="11662773"/>
        <c:crosses val="autoZero"/>
        <c:auto val="1"/>
        <c:lblAlgn val="ctr"/>
        <c:lblOffset val="100"/>
        <c:noMultiLvlLbl val="0"/>
      </c:catAx>
      <c:valAx>
        <c:axId val="11662773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crossAx val="24045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3.46248922782703E-2"/>
          <c:y val="0.89500313131030396"/>
          <c:w val="0.95338110472322901"/>
          <c:h val="0.10151153644971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1" u="none" strike="noStrike">
              <a:solidFill>
                <a:srgbClr val="595959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63360</xdr:colOff>
      <xdr:row>0</xdr:row>
      <xdr:rowOff>180000</xdr:rowOff>
    </xdr:from>
    <xdr:to>
      <xdr:col>18</xdr:col>
      <xdr:colOff>7833600</xdr:colOff>
      <xdr:row>24</xdr:row>
      <xdr:rowOff>19440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Y25"/>
  <sheetViews>
    <sheetView tabSelected="1" zoomScale="80" zoomScaleNormal="80" workbookViewId="0">
      <selection activeCell="M6" sqref="M6"/>
    </sheetView>
  </sheetViews>
  <sheetFormatPr defaultColWidth="9.140625" defaultRowHeight="15" customHeight="1" zeroHeight="1"/>
  <cols>
    <col min="1" max="1" width="2.5703125" style="1" customWidth="1"/>
    <col min="2" max="2" width="1.5703125" customWidth="1"/>
    <col min="3" max="3" width="13.42578125" customWidth="1"/>
    <col min="4" max="4" width="9.85546875" customWidth="1"/>
    <col min="5" max="5" width="27.42578125" style="2" customWidth="1"/>
    <col min="6" max="17" width="5.7109375" style="3" customWidth="1"/>
    <col min="18" max="18" width="1.5703125" customWidth="1"/>
    <col min="19" max="19" width="120.42578125" customWidth="1"/>
    <col min="20" max="260" width="9.140625" hidden="1"/>
    <col min="261" max="261" width="19.140625" hidden="1" customWidth="1"/>
    <col min="262" max="265" width="9.7109375" hidden="1" customWidth="1"/>
    <col min="266" max="266" width="9.140625" hidden="1"/>
    <col min="267" max="267" width="9.7109375" hidden="1" customWidth="1"/>
    <col min="268" max="268" width="9.28515625" hidden="1" customWidth="1"/>
    <col min="269" max="269" width="9.140625" hidden="1"/>
    <col min="270" max="270" width="10.28515625" hidden="1" customWidth="1"/>
    <col min="271" max="271" width="10.5703125" hidden="1" customWidth="1"/>
    <col min="272" max="272" width="11.28515625" hidden="1" customWidth="1"/>
    <col min="273" max="273" width="10.28515625" hidden="1" customWidth="1"/>
    <col min="274" max="516" width="9.140625" hidden="1"/>
    <col min="517" max="517" width="19.140625" hidden="1" customWidth="1"/>
    <col min="518" max="521" width="9.7109375" hidden="1" customWidth="1"/>
    <col min="522" max="522" width="9.140625" hidden="1"/>
    <col min="523" max="523" width="9.7109375" hidden="1" customWidth="1"/>
    <col min="524" max="524" width="9.28515625" hidden="1" customWidth="1"/>
    <col min="525" max="525" width="9.140625" hidden="1"/>
    <col min="526" max="526" width="10.28515625" hidden="1" customWidth="1"/>
    <col min="527" max="527" width="10.5703125" hidden="1" customWidth="1"/>
    <col min="528" max="528" width="11.28515625" hidden="1" customWidth="1"/>
    <col min="529" max="529" width="10.28515625" hidden="1" customWidth="1"/>
    <col min="530" max="772" width="9.140625" hidden="1"/>
    <col min="773" max="773" width="19.140625" hidden="1" customWidth="1"/>
    <col min="774" max="777" width="9.7109375" hidden="1" customWidth="1"/>
    <col min="778" max="778" width="9.140625" hidden="1"/>
    <col min="779" max="779" width="9.7109375" hidden="1" customWidth="1"/>
    <col min="780" max="780" width="9.28515625" hidden="1" customWidth="1"/>
    <col min="781" max="781" width="9.140625" hidden="1"/>
    <col min="782" max="782" width="10.28515625" hidden="1" customWidth="1"/>
    <col min="783" max="783" width="10.5703125" hidden="1" customWidth="1"/>
    <col min="784" max="784" width="11.28515625" hidden="1" customWidth="1"/>
    <col min="785" max="785" width="10.28515625" hidden="1" customWidth="1"/>
    <col min="786" max="1028" width="9.140625" hidden="1"/>
    <col min="1029" max="1029" width="19.140625" hidden="1" customWidth="1"/>
    <col min="1030" max="1033" width="9.7109375" hidden="1" customWidth="1"/>
    <col min="1034" max="1034" width="9.140625" hidden="1"/>
    <col min="1035" max="1035" width="9.7109375" hidden="1" customWidth="1"/>
    <col min="1036" max="1036" width="9.28515625" hidden="1" customWidth="1"/>
    <col min="1037" max="1037" width="9.140625" hidden="1"/>
    <col min="1038" max="1038" width="10.28515625" hidden="1" customWidth="1"/>
    <col min="1039" max="1039" width="10.5703125" hidden="1" customWidth="1"/>
    <col min="1040" max="1040" width="11.28515625" hidden="1" customWidth="1"/>
    <col min="1041" max="1041" width="10.28515625" hidden="1" customWidth="1"/>
    <col min="1042" max="1284" width="9.140625" hidden="1"/>
    <col min="1285" max="1285" width="19.140625" hidden="1" customWidth="1"/>
    <col min="1286" max="1289" width="9.7109375" hidden="1" customWidth="1"/>
    <col min="1290" max="1290" width="9.140625" hidden="1"/>
    <col min="1291" max="1291" width="9.7109375" hidden="1" customWidth="1"/>
    <col min="1292" max="1292" width="9.28515625" hidden="1" customWidth="1"/>
    <col min="1293" max="1293" width="9.140625" hidden="1"/>
    <col min="1294" max="1294" width="10.28515625" hidden="1" customWidth="1"/>
    <col min="1295" max="1295" width="10.5703125" hidden="1" customWidth="1"/>
    <col min="1296" max="1296" width="11.28515625" hidden="1" customWidth="1"/>
    <col min="1297" max="1297" width="10.28515625" hidden="1" customWidth="1"/>
    <col min="1298" max="1540" width="9.140625" hidden="1"/>
    <col min="1541" max="1541" width="19.140625" hidden="1" customWidth="1"/>
    <col min="1542" max="1545" width="9.7109375" hidden="1" customWidth="1"/>
    <col min="1546" max="1546" width="9.140625" hidden="1"/>
    <col min="1547" max="1547" width="9.7109375" hidden="1" customWidth="1"/>
    <col min="1548" max="1548" width="9.28515625" hidden="1" customWidth="1"/>
    <col min="1549" max="1549" width="9.140625" hidden="1"/>
    <col min="1550" max="1550" width="10.28515625" hidden="1" customWidth="1"/>
    <col min="1551" max="1551" width="10.5703125" hidden="1" customWidth="1"/>
    <col min="1552" max="1552" width="11.28515625" hidden="1" customWidth="1"/>
    <col min="1553" max="1553" width="10.28515625" hidden="1" customWidth="1"/>
    <col min="1554" max="1796" width="9.140625" hidden="1"/>
    <col min="1797" max="1797" width="19.140625" hidden="1" customWidth="1"/>
    <col min="1798" max="1801" width="9.7109375" hidden="1" customWidth="1"/>
    <col min="1802" max="1802" width="9.140625" hidden="1"/>
    <col min="1803" max="1803" width="9.7109375" hidden="1" customWidth="1"/>
    <col min="1804" max="1804" width="9.28515625" hidden="1" customWidth="1"/>
    <col min="1805" max="1805" width="9.140625" hidden="1"/>
    <col min="1806" max="1806" width="10.28515625" hidden="1" customWidth="1"/>
    <col min="1807" max="1807" width="10.5703125" hidden="1" customWidth="1"/>
    <col min="1808" max="1808" width="11.28515625" hidden="1" customWidth="1"/>
    <col min="1809" max="1809" width="10.28515625" hidden="1" customWidth="1"/>
    <col min="1810" max="2052" width="9.140625" hidden="1"/>
    <col min="2053" max="2053" width="19.140625" hidden="1" customWidth="1"/>
    <col min="2054" max="2057" width="9.7109375" hidden="1" customWidth="1"/>
    <col min="2058" max="2058" width="9.140625" hidden="1"/>
    <col min="2059" max="2059" width="9.7109375" hidden="1" customWidth="1"/>
    <col min="2060" max="2060" width="9.28515625" hidden="1" customWidth="1"/>
    <col min="2061" max="2061" width="9.140625" hidden="1"/>
    <col min="2062" max="2062" width="10.28515625" hidden="1" customWidth="1"/>
    <col min="2063" max="2063" width="10.5703125" hidden="1" customWidth="1"/>
    <col min="2064" max="2064" width="11.28515625" hidden="1" customWidth="1"/>
    <col min="2065" max="2065" width="10.28515625" hidden="1" customWidth="1"/>
    <col min="2066" max="2308" width="9.140625" hidden="1"/>
    <col min="2309" max="2309" width="19.140625" hidden="1" customWidth="1"/>
    <col min="2310" max="2313" width="9.7109375" hidden="1" customWidth="1"/>
    <col min="2314" max="2314" width="9.140625" hidden="1"/>
    <col min="2315" max="2315" width="9.7109375" hidden="1" customWidth="1"/>
    <col min="2316" max="2316" width="9.28515625" hidden="1" customWidth="1"/>
    <col min="2317" max="2317" width="9.140625" hidden="1"/>
    <col min="2318" max="2318" width="10.28515625" hidden="1" customWidth="1"/>
    <col min="2319" max="2319" width="10.5703125" hidden="1" customWidth="1"/>
    <col min="2320" max="2320" width="11.28515625" hidden="1" customWidth="1"/>
    <col min="2321" max="2321" width="10.28515625" hidden="1" customWidth="1"/>
    <col min="2322" max="2564" width="9.140625" hidden="1"/>
    <col min="2565" max="2565" width="19.140625" hidden="1" customWidth="1"/>
    <col min="2566" max="2569" width="9.7109375" hidden="1" customWidth="1"/>
    <col min="2570" max="2570" width="9.140625" hidden="1"/>
    <col min="2571" max="2571" width="9.7109375" hidden="1" customWidth="1"/>
    <col min="2572" max="2572" width="9.28515625" hidden="1" customWidth="1"/>
    <col min="2573" max="2573" width="9.140625" hidden="1"/>
    <col min="2574" max="2574" width="10.28515625" hidden="1" customWidth="1"/>
    <col min="2575" max="2575" width="10.5703125" hidden="1" customWidth="1"/>
    <col min="2576" max="2576" width="11.28515625" hidden="1" customWidth="1"/>
    <col min="2577" max="2577" width="10.28515625" hidden="1" customWidth="1"/>
    <col min="2578" max="2820" width="9.140625" hidden="1"/>
    <col min="2821" max="2821" width="19.140625" hidden="1" customWidth="1"/>
    <col min="2822" max="2825" width="9.7109375" hidden="1" customWidth="1"/>
    <col min="2826" max="2826" width="9.140625" hidden="1"/>
    <col min="2827" max="2827" width="9.7109375" hidden="1" customWidth="1"/>
    <col min="2828" max="2828" width="9.28515625" hidden="1" customWidth="1"/>
    <col min="2829" max="2829" width="9.140625" hidden="1"/>
    <col min="2830" max="2830" width="10.28515625" hidden="1" customWidth="1"/>
    <col min="2831" max="2831" width="10.5703125" hidden="1" customWidth="1"/>
    <col min="2832" max="2832" width="11.28515625" hidden="1" customWidth="1"/>
    <col min="2833" max="2833" width="10.28515625" hidden="1" customWidth="1"/>
    <col min="2834" max="3076" width="9.140625" hidden="1"/>
    <col min="3077" max="3077" width="19.140625" hidden="1" customWidth="1"/>
    <col min="3078" max="3081" width="9.7109375" hidden="1" customWidth="1"/>
    <col min="3082" max="3082" width="9.140625" hidden="1"/>
    <col min="3083" max="3083" width="9.7109375" hidden="1" customWidth="1"/>
    <col min="3084" max="3084" width="9.28515625" hidden="1" customWidth="1"/>
    <col min="3085" max="3085" width="9.140625" hidden="1"/>
    <col min="3086" max="3086" width="10.28515625" hidden="1" customWidth="1"/>
    <col min="3087" max="3087" width="10.5703125" hidden="1" customWidth="1"/>
    <col min="3088" max="3088" width="11.28515625" hidden="1" customWidth="1"/>
    <col min="3089" max="3089" width="10.28515625" hidden="1" customWidth="1"/>
    <col min="3090" max="3332" width="9.140625" hidden="1"/>
    <col min="3333" max="3333" width="19.140625" hidden="1" customWidth="1"/>
    <col min="3334" max="3337" width="9.7109375" hidden="1" customWidth="1"/>
    <col min="3338" max="3338" width="9.140625" hidden="1"/>
    <col min="3339" max="3339" width="9.7109375" hidden="1" customWidth="1"/>
    <col min="3340" max="3340" width="9.28515625" hidden="1" customWidth="1"/>
    <col min="3341" max="3341" width="9.140625" hidden="1"/>
    <col min="3342" max="3342" width="10.28515625" hidden="1" customWidth="1"/>
    <col min="3343" max="3343" width="10.5703125" hidden="1" customWidth="1"/>
    <col min="3344" max="3344" width="11.28515625" hidden="1" customWidth="1"/>
    <col min="3345" max="3345" width="10.28515625" hidden="1" customWidth="1"/>
    <col min="3346" max="3588" width="9.140625" hidden="1"/>
    <col min="3589" max="3589" width="19.140625" hidden="1" customWidth="1"/>
    <col min="3590" max="3593" width="9.7109375" hidden="1" customWidth="1"/>
    <col min="3594" max="3594" width="9.140625" hidden="1"/>
    <col min="3595" max="3595" width="9.7109375" hidden="1" customWidth="1"/>
    <col min="3596" max="3596" width="9.28515625" hidden="1" customWidth="1"/>
    <col min="3597" max="3597" width="9.140625" hidden="1"/>
    <col min="3598" max="3598" width="10.28515625" hidden="1" customWidth="1"/>
    <col min="3599" max="3599" width="10.5703125" hidden="1" customWidth="1"/>
    <col min="3600" max="3600" width="11.28515625" hidden="1" customWidth="1"/>
    <col min="3601" max="3601" width="10.28515625" hidden="1" customWidth="1"/>
    <col min="3602" max="3844" width="9.140625" hidden="1"/>
    <col min="3845" max="3845" width="19.140625" hidden="1" customWidth="1"/>
    <col min="3846" max="3849" width="9.7109375" hidden="1" customWidth="1"/>
    <col min="3850" max="3850" width="9.140625" hidden="1"/>
    <col min="3851" max="3851" width="9.7109375" hidden="1" customWidth="1"/>
    <col min="3852" max="3852" width="9.28515625" hidden="1" customWidth="1"/>
    <col min="3853" max="3853" width="9.140625" hidden="1"/>
    <col min="3854" max="3854" width="10.28515625" hidden="1" customWidth="1"/>
    <col min="3855" max="3855" width="10.5703125" hidden="1" customWidth="1"/>
    <col min="3856" max="3856" width="11.28515625" hidden="1" customWidth="1"/>
    <col min="3857" max="3857" width="10.28515625" hidden="1" customWidth="1"/>
    <col min="3858" max="4100" width="9.140625" hidden="1"/>
    <col min="4101" max="4101" width="19.140625" hidden="1" customWidth="1"/>
    <col min="4102" max="4105" width="9.7109375" hidden="1" customWidth="1"/>
    <col min="4106" max="4106" width="9.140625" hidden="1"/>
    <col min="4107" max="4107" width="9.7109375" hidden="1" customWidth="1"/>
    <col min="4108" max="4108" width="9.28515625" hidden="1" customWidth="1"/>
    <col min="4109" max="4109" width="9.140625" hidden="1"/>
    <col min="4110" max="4110" width="10.28515625" hidden="1" customWidth="1"/>
    <col min="4111" max="4111" width="10.5703125" hidden="1" customWidth="1"/>
    <col min="4112" max="4112" width="11.28515625" hidden="1" customWidth="1"/>
    <col min="4113" max="4113" width="10.28515625" hidden="1" customWidth="1"/>
    <col min="4114" max="4356" width="9.140625" hidden="1"/>
    <col min="4357" max="4357" width="19.140625" hidden="1" customWidth="1"/>
    <col min="4358" max="4361" width="9.7109375" hidden="1" customWidth="1"/>
    <col min="4362" max="4362" width="9.140625" hidden="1"/>
    <col min="4363" max="4363" width="9.7109375" hidden="1" customWidth="1"/>
    <col min="4364" max="4364" width="9.28515625" hidden="1" customWidth="1"/>
    <col min="4365" max="4365" width="9.140625" hidden="1"/>
    <col min="4366" max="4366" width="10.28515625" hidden="1" customWidth="1"/>
    <col min="4367" max="4367" width="10.5703125" hidden="1" customWidth="1"/>
    <col min="4368" max="4368" width="11.28515625" hidden="1" customWidth="1"/>
    <col min="4369" max="4369" width="10.28515625" hidden="1" customWidth="1"/>
    <col min="4370" max="4612" width="9.140625" hidden="1"/>
    <col min="4613" max="4613" width="19.140625" hidden="1" customWidth="1"/>
    <col min="4614" max="4617" width="9.7109375" hidden="1" customWidth="1"/>
    <col min="4618" max="4618" width="9.140625" hidden="1"/>
    <col min="4619" max="4619" width="9.7109375" hidden="1" customWidth="1"/>
    <col min="4620" max="4620" width="9.28515625" hidden="1" customWidth="1"/>
    <col min="4621" max="4621" width="9.140625" hidden="1"/>
    <col min="4622" max="4622" width="10.28515625" hidden="1" customWidth="1"/>
    <col min="4623" max="4623" width="10.5703125" hidden="1" customWidth="1"/>
    <col min="4624" max="4624" width="11.28515625" hidden="1" customWidth="1"/>
    <col min="4625" max="4625" width="10.28515625" hidden="1" customWidth="1"/>
    <col min="4626" max="4868" width="9.140625" hidden="1"/>
    <col min="4869" max="4869" width="19.140625" hidden="1" customWidth="1"/>
    <col min="4870" max="4873" width="9.7109375" hidden="1" customWidth="1"/>
    <col min="4874" max="4874" width="9.140625" hidden="1"/>
    <col min="4875" max="4875" width="9.7109375" hidden="1" customWidth="1"/>
    <col min="4876" max="4876" width="9.28515625" hidden="1" customWidth="1"/>
    <col min="4877" max="4877" width="9.140625" hidden="1"/>
    <col min="4878" max="4878" width="10.28515625" hidden="1" customWidth="1"/>
    <col min="4879" max="4879" width="10.5703125" hidden="1" customWidth="1"/>
    <col min="4880" max="4880" width="11.28515625" hidden="1" customWidth="1"/>
    <col min="4881" max="4881" width="10.28515625" hidden="1" customWidth="1"/>
    <col min="4882" max="5124" width="9.140625" hidden="1"/>
    <col min="5125" max="5125" width="19.140625" hidden="1" customWidth="1"/>
    <col min="5126" max="5129" width="9.7109375" hidden="1" customWidth="1"/>
    <col min="5130" max="5130" width="9.140625" hidden="1"/>
    <col min="5131" max="5131" width="9.7109375" hidden="1" customWidth="1"/>
    <col min="5132" max="5132" width="9.28515625" hidden="1" customWidth="1"/>
    <col min="5133" max="5133" width="9.140625" hidden="1"/>
    <col min="5134" max="5134" width="10.28515625" hidden="1" customWidth="1"/>
    <col min="5135" max="5135" width="10.5703125" hidden="1" customWidth="1"/>
    <col min="5136" max="5136" width="11.28515625" hidden="1" customWidth="1"/>
    <col min="5137" max="5137" width="10.28515625" hidden="1" customWidth="1"/>
    <col min="5138" max="5380" width="9.140625" hidden="1"/>
    <col min="5381" max="5381" width="19.140625" hidden="1" customWidth="1"/>
    <col min="5382" max="5385" width="9.7109375" hidden="1" customWidth="1"/>
    <col min="5386" max="5386" width="9.140625" hidden="1"/>
    <col min="5387" max="5387" width="9.7109375" hidden="1" customWidth="1"/>
    <col min="5388" max="5388" width="9.28515625" hidden="1" customWidth="1"/>
    <col min="5389" max="5389" width="9.140625" hidden="1"/>
    <col min="5390" max="5390" width="10.28515625" hidden="1" customWidth="1"/>
    <col min="5391" max="5391" width="10.5703125" hidden="1" customWidth="1"/>
    <col min="5392" max="5392" width="11.28515625" hidden="1" customWidth="1"/>
    <col min="5393" max="5393" width="10.28515625" hidden="1" customWidth="1"/>
    <col min="5394" max="5636" width="9.140625" hidden="1"/>
    <col min="5637" max="5637" width="19.140625" hidden="1" customWidth="1"/>
    <col min="5638" max="5641" width="9.7109375" hidden="1" customWidth="1"/>
    <col min="5642" max="5642" width="9.140625" hidden="1"/>
    <col min="5643" max="5643" width="9.7109375" hidden="1" customWidth="1"/>
    <col min="5644" max="5644" width="9.28515625" hidden="1" customWidth="1"/>
    <col min="5645" max="5645" width="9.140625" hidden="1"/>
    <col min="5646" max="5646" width="10.28515625" hidden="1" customWidth="1"/>
    <col min="5647" max="5647" width="10.5703125" hidden="1" customWidth="1"/>
    <col min="5648" max="5648" width="11.28515625" hidden="1" customWidth="1"/>
    <col min="5649" max="5649" width="10.28515625" hidden="1" customWidth="1"/>
    <col min="5650" max="5892" width="9.140625" hidden="1"/>
    <col min="5893" max="5893" width="19.140625" hidden="1" customWidth="1"/>
    <col min="5894" max="5897" width="9.7109375" hidden="1" customWidth="1"/>
    <col min="5898" max="5898" width="9.140625" hidden="1"/>
    <col min="5899" max="5899" width="9.7109375" hidden="1" customWidth="1"/>
    <col min="5900" max="5900" width="9.28515625" hidden="1" customWidth="1"/>
    <col min="5901" max="5901" width="9.140625" hidden="1"/>
    <col min="5902" max="5902" width="10.28515625" hidden="1" customWidth="1"/>
    <col min="5903" max="5903" width="10.5703125" hidden="1" customWidth="1"/>
    <col min="5904" max="5904" width="11.28515625" hidden="1" customWidth="1"/>
    <col min="5905" max="5905" width="10.28515625" hidden="1" customWidth="1"/>
    <col min="5906" max="6148" width="9.140625" hidden="1"/>
    <col min="6149" max="6149" width="19.140625" hidden="1" customWidth="1"/>
    <col min="6150" max="6153" width="9.7109375" hidden="1" customWidth="1"/>
    <col min="6154" max="6154" width="9.140625" hidden="1"/>
    <col min="6155" max="6155" width="9.7109375" hidden="1" customWidth="1"/>
    <col min="6156" max="6156" width="9.28515625" hidden="1" customWidth="1"/>
    <col min="6157" max="6157" width="9.140625" hidden="1"/>
    <col min="6158" max="6158" width="10.28515625" hidden="1" customWidth="1"/>
    <col min="6159" max="6159" width="10.5703125" hidden="1" customWidth="1"/>
    <col min="6160" max="6160" width="11.28515625" hidden="1" customWidth="1"/>
    <col min="6161" max="6161" width="10.28515625" hidden="1" customWidth="1"/>
    <col min="6162" max="6404" width="9.140625" hidden="1"/>
    <col min="6405" max="6405" width="19.140625" hidden="1" customWidth="1"/>
    <col min="6406" max="6409" width="9.7109375" hidden="1" customWidth="1"/>
    <col min="6410" max="6410" width="9.140625" hidden="1"/>
    <col min="6411" max="6411" width="9.7109375" hidden="1" customWidth="1"/>
    <col min="6412" max="6412" width="9.28515625" hidden="1" customWidth="1"/>
    <col min="6413" max="6413" width="9.140625" hidden="1"/>
    <col min="6414" max="6414" width="10.28515625" hidden="1" customWidth="1"/>
    <col min="6415" max="6415" width="10.5703125" hidden="1" customWidth="1"/>
    <col min="6416" max="6416" width="11.28515625" hidden="1" customWidth="1"/>
    <col min="6417" max="6417" width="10.28515625" hidden="1" customWidth="1"/>
    <col min="6418" max="6660" width="9.140625" hidden="1"/>
    <col min="6661" max="6661" width="19.140625" hidden="1" customWidth="1"/>
    <col min="6662" max="6665" width="9.7109375" hidden="1" customWidth="1"/>
    <col min="6666" max="6666" width="9.140625" hidden="1"/>
    <col min="6667" max="6667" width="9.7109375" hidden="1" customWidth="1"/>
    <col min="6668" max="6668" width="9.28515625" hidden="1" customWidth="1"/>
    <col min="6669" max="6669" width="9.140625" hidden="1"/>
    <col min="6670" max="6670" width="10.28515625" hidden="1" customWidth="1"/>
    <col min="6671" max="6671" width="10.5703125" hidden="1" customWidth="1"/>
    <col min="6672" max="6672" width="11.28515625" hidden="1" customWidth="1"/>
    <col min="6673" max="6673" width="10.28515625" hidden="1" customWidth="1"/>
    <col min="6674" max="6916" width="9.140625" hidden="1"/>
    <col min="6917" max="6917" width="19.140625" hidden="1" customWidth="1"/>
    <col min="6918" max="6921" width="9.7109375" hidden="1" customWidth="1"/>
    <col min="6922" max="6922" width="9.140625" hidden="1"/>
    <col min="6923" max="6923" width="9.7109375" hidden="1" customWidth="1"/>
    <col min="6924" max="6924" width="9.28515625" hidden="1" customWidth="1"/>
    <col min="6925" max="6925" width="9.140625" hidden="1"/>
    <col min="6926" max="6926" width="10.28515625" hidden="1" customWidth="1"/>
    <col min="6927" max="6927" width="10.5703125" hidden="1" customWidth="1"/>
    <col min="6928" max="6928" width="11.28515625" hidden="1" customWidth="1"/>
    <col min="6929" max="6929" width="10.28515625" hidden="1" customWidth="1"/>
    <col min="6930" max="7172" width="9.140625" hidden="1"/>
    <col min="7173" max="7173" width="19.140625" hidden="1" customWidth="1"/>
    <col min="7174" max="7177" width="9.7109375" hidden="1" customWidth="1"/>
    <col min="7178" max="7178" width="9.140625" hidden="1"/>
    <col min="7179" max="7179" width="9.7109375" hidden="1" customWidth="1"/>
    <col min="7180" max="7180" width="9.28515625" hidden="1" customWidth="1"/>
    <col min="7181" max="7181" width="9.140625" hidden="1"/>
    <col min="7182" max="7182" width="10.28515625" hidden="1" customWidth="1"/>
    <col min="7183" max="7183" width="10.5703125" hidden="1" customWidth="1"/>
    <col min="7184" max="7184" width="11.28515625" hidden="1" customWidth="1"/>
    <col min="7185" max="7185" width="10.28515625" hidden="1" customWidth="1"/>
    <col min="7186" max="7428" width="9.140625" hidden="1"/>
    <col min="7429" max="7429" width="19.140625" hidden="1" customWidth="1"/>
    <col min="7430" max="7433" width="9.7109375" hidden="1" customWidth="1"/>
    <col min="7434" max="7434" width="9.140625" hidden="1"/>
    <col min="7435" max="7435" width="9.7109375" hidden="1" customWidth="1"/>
    <col min="7436" max="7436" width="9.28515625" hidden="1" customWidth="1"/>
    <col min="7437" max="7437" width="9.140625" hidden="1"/>
    <col min="7438" max="7438" width="10.28515625" hidden="1" customWidth="1"/>
    <col min="7439" max="7439" width="10.5703125" hidden="1" customWidth="1"/>
    <col min="7440" max="7440" width="11.28515625" hidden="1" customWidth="1"/>
    <col min="7441" max="7441" width="10.28515625" hidden="1" customWidth="1"/>
    <col min="7442" max="7684" width="9.140625" hidden="1"/>
    <col min="7685" max="7685" width="19.140625" hidden="1" customWidth="1"/>
    <col min="7686" max="7689" width="9.7109375" hidden="1" customWidth="1"/>
    <col min="7690" max="7690" width="9.140625" hidden="1"/>
    <col min="7691" max="7691" width="9.7109375" hidden="1" customWidth="1"/>
    <col min="7692" max="7692" width="9.28515625" hidden="1" customWidth="1"/>
    <col min="7693" max="7693" width="9.140625" hidden="1"/>
    <col min="7694" max="7694" width="10.28515625" hidden="1" customWidth="1"/>
    <col min="7695" max="7695" width="10.5703125" hidden="1" customWidth="1"/>
    <col min="7696" max="7696" width="11.28515625" hidden="1" customWidth="1"/>
    <col min="7697" max="7697" width="10.28515625" hidden="1" customWidth="1"/>
    <col min="7698" max="7940" width="9.140625" hidden="1"/>
    <col min="7941" max="7941" width="19.140625" hidden="1" customWidth="1"/>
    <col min="7942" max="7945" width="9.7109375" hidden="1" customWidth="1"/>
    <col min="7946" max="7946" width="9.140625" hidden="1"/>
    <col min="7947" max="7947" width="9.7109375" hidden="1" customWidth="1"/>
    <col min="7948" max="7948" width="9.28515625" hidden="1" customWidth="1"/>
    <col min="7949" max="7949" width="9.140625" hidden="1"/>
    <col min="7950" max="7950" width="10.28515625" hidden="1" customWidth="1"/>
    <col min="7951" max="7951" width="10.5703125" hidden="1" customWidth="1"/>
    <col min="7952" max="7952" width="11.28515625" hidden="1" customWidth="1"/>
    <col min="7953" max="7953" width="10.28515625" hidden="1" customWidth="1"/>
    <col min="7954" max="8196" width="9.140625" hidden="1"/>
    <col min="8197" max="8197" width="19.140625" hidden="1" customWidth="1"/>
    <col min="8198" max="8201" width="9.7109375" hidden="1" customWidth="1"/>
    <col min="8202" max="8202" width="9.140625" hidden="1"/>
    <col min="8203" max="8203" width="9.7109375" hidden="1" customWidth="1"/>
    <col min="8204" max="8204" width="9.28515625" hidden="1" customWidth="1"/>
    <col min="8205" max="8205" width="9.140625" hidden="1"/>
    <col min="8206" max="8206" width="10.28515625" hidden="1" customWidth="1"/>
    <col min="8207" max="8207" width="10.5703125" hidden="1" customWidth="1"/>
    <col min="8208" max="8208" width="11.28515625" hidden="1" customWidth="1"/>
    <col min="8209" max="8209" width="10.28515625" hidden="1" customWidth="1"/>
    <col min="8210" max="8452" width="9.140625" hidden="1"/>
    <col min="8453" max="8453" width="19.140625" hidden="1" customWidth="1"/>
    <col min="8454" max="8457" width="9.7109375" hidden="1" customWidth="1"/>
    <col min="8458" max="8458" width="9.140625" hidden="1"/>
    <col min="8459" max="8459" width="9.7109375" hidden="1" customWidth="1"/>
    <col min="8460" max="8460" width="9.28515625" hidden="1" customWidth="1"/>
    <col min="8461" max="8461" width="9.140625" hidden="1"/>
    <col min="8462" max="8462" width="10.28515625" hidden="1" customWidth="1"/>
    <col min="8463" max="8463" width="10.5703125" hidden="1" customWidth="1"/>
    <col min="8464" max="8464" width="11.28515625" hidden="1" customWidth="1"/>
    <col min="8465" max="8465" width="10.28515625" hidden="1" customWidth="1"/>
    <col min="8466" max="8708" width="9.140625" hidden="1"/>
    <col min="8709" max="8709" width="19.140625" hidden="1" customWidth="1"/>
    <col min="8710" max="8713" width="9.7109375" hidden="1" customWidth="1"/>
    <col min="8714" max="8714" width="9.140625" hidden="1"/>
    <col min="8715" max="8715" width="9.7109375" hidden="1" customWidth="1"/>
    <col min="8716" max="8716" width="9.28515625" hidden="1" customWidth="1"/>
    <col min="8717" max="8717" width="9.140625" hidden="1"/>
    <col min="8718" max="8718" width="10.28515625" hidden="1" customWidth="1"/>
    <col min="8719" max="8719" width="10.5703125" hidden="1" customWidth="1"/>
    <col min="8720" max="8720" width="11.28515625" hidden="1" customWidth="1"/>
    <col min="8721" max="8721" width="10.28515625" hidden="1" customWidth="1"/>
    <col min="8722" max="8964" width="9.140625" hidden="1"/>
    <col min="8965" max="8965" width="19.140625" hidden="1" customWidth="1"/>
    <col min="8966" max="8969" width="9.7109375" hidden="1" customWidth="1"/>
    <col min="8970" max="8970" width="9.140625" hidden="1"/>
    <col min="8971" max="8971" width="9.7109375" hidden="1" customWidth="1"/>
    <col min="8972" max="8972" width="9.28515625" hidden="1" customWidth="1"/>
    <col min="8973" max="8973" width="9.140625" hidden="1"/>
    <col min="8974" max="8974" width="10.28515625" hidden="1" customWidth="1"/>
    <col min="8975" max="8975" width="10.5703125" hidden="1" customWidth="1"/>
    <col min="8976" max="8976" width="11.28515625" hidden="1" customWidth="1"/>
    <col min="8977" max="8977" width="10.28515625" hidden="1" customWidth="1"/>
    <col min="8978" max="9220" width="9.140625" hidden="1"/>
    <col min="9221" max="9221" width="19.140625" hidden="1" customWidth="1"/>
    <col min="9222" max="9225" width="9.7109375" hidden="1" customWidth="1"/>
    <col min="9226" max="9226" width="9.140625" hidden="1"/>
    <col min="9227" max="9227" width="9.7109375" hidden="1" customWidth="1"/>
    <col min="9228" max="9228" width="9.28515625" hidden="1" customWidth="1"/>
    <col min="9229" max="9229" width="9.140625" hidden="1"/>
    <col min="9230" max="9230" width="10.28515625" hidden="1" customWidth="1"/>
    <col min="9231" max="9231" width="10.5703125" hidden="1" customWidth="1"/>
    <col min="9232" max="9232" width="11.28515625" hidden="1" customWidth="1"/>
    <col min="9233" max="9233" width="10.28515625" hidden="1" customWidth="1"/>
    <col min="9234" max="9476" width="9.140625" hidden="1"/>
    <col min="9477" max="9477" width="19.140625" hidden="1" customWidth="1"/>
    <col min="9478" max="9481" width="9.7109375" hidden="1" customWidth="1"/>
    <col min="9482" max="9482" width="9.140625" hidden="1"/>
    <col min="9483" max="9483" width="9.7109375" hidden="1" customWidth="1"/>
    <col min="9484" max="9484" width="9.28515625" hidden="1" customWidth="1"/>
    <col min="9485" max="9485" width="9.140625" hidden="1"/>
    <col min="9486" max="9486" width="10.28515625" hidden="1" customWidth="1"/>
    <col min="9487" max="9487" width="10.5703125" hidden="1" customWidth="1"/>
    <col min="9488" max="9488" width="11.28515625" hidden="1" customWidth="1"/>
    <col min="9489" max="9489" width="10.28515625" hidden="1" customWidth="1"/>
    <col min="9490" max="9732" width="9.140625" hidden="1"/>
    <col min="9733" max="9733" width="19.140625" hidden="1" customWidth="1"/>
    <col min="9734" max="9737" width="9.7109375" hidden="1" customWidth="1"/>
    <col min="9738" max="9738" width="9.140625" hidden="1"/>
    <col min="9739" max="9739" width="9.7109375" hidden="1" customWidth="1"/>
    <col min="9740" max="9740" width="9.28515625" hidden="1" customWidth="1"/>
    <col min="9741" max="9741" width="9.140625" hidden="1"/>
    <col min="9742" max="9742" width="10.28515625" hidden="1" customWidth="1"/>
    <col min="9743" max="9743" width="10.5703125" hidden="1" customWidth="1"/>
    <col min="9744" max="9744" width="11.28515625" hidden="1" customWidth="1"/>
    <col min="9745" max="9745" width="10.28515625" hidden="1" customWidth="1"/>
    <col min="9746" max="9988" width="9.140625" hidden="1"/>
    <col min="9989" max="9989" width="19.140625" hidden="1" customWidth="1"/>
    <col min="9990" max="9993" width="9.7109375" hidden="1" customWidth="1"/>
    <col min="9994" max="9994" width="9.140625" hidden="1"/>
    <col min="9995" max="9995" width="9.7109375" hidden="1" customWidth="1"/>
    <col min="9996" max="9996" width="9.28515625" hidden="1" customWidth="1"/>
    <col min="9997" max="9997" width="9.140625" hidden="1"/>
    <col min="9998" max="9998" width="10.28515625" hidden="1" customWidth="1"/>
    <col min="9999" max="9999" width="10.5703125" hidden="1" customWidth="1"/>
    <col min="10000" max="10000" width="11.28515625" hidden="1" customWidth="1"/>
    <col min="10001" max="10001" width="10.28515625" hidden="1" customWidth="1"/>
    <col min="10002" max="10244" width="9.140625" hidden="1"/>
    <col min="10245" max="10245" width="19.140625" hidden="1" customWidth="1"/>
    <col min="10246" max="10249" width="9.7109375" hidden="1" customWidth="1"/>
    <col min="10250" max="10250" width="9.140625" hidden="1"/>
    <col min="10251" max="10251" width="9.7109375" hidden="1" customWidth="1"/>
    <col min="10252" max="10252" width="9.28515625" hidden="1" customWidth="1"/>
    <col min="10253" max="10253" width="9.140625" hidden="1"/>
    <col min="10254" max="10254" width="10.28515625" hidden="1" customWidth="1"/>
    <col min="10255" max="10255" width="10.5703125" hidden="1" customWidth="1"/>
    <col min="10256" max="10256" width="11.28515625" hidden="1" customWidth="1"/>
    <col min="10257" max="10257" width="10.28515625" hidden="1" customWidth="1"/>
    <col min="10258" max="10500" width="9.140625" hidden="1"/>
    <col min="10501" max="10501" width="19.140625" hidden="1" customWidth="1"/>
    <col min="10502" max="10505" width="9.7109375" hidden="1" customWidth="1"/>
    <col min="10506" max="10506" width="9.140625" hidden="1"/>
    <col min="10507" max="10507" width="9.7109375" hidden="1" customWidth="1"/>
    <col min="10508" max="10508" width="9.28515625" hidden="1" customWidth="1"/>
    <col min="10509" max="10509" width="9.140625" hidden="1"/>
    <col min="10510" max="10510" width="10.28515625" hidden="1" customWidth="1"/>
    <col min="10511" max="10511" width="10.5703125" hidden="1" customWidth="1"/>
    <col min="10512" max="10512" width="11.28515625" hidden="1" customWidth="1"/>
    <col min="10513" max="10513" width="10.28515625" hidden="1" customWidth="1"/>
    <col min="10514" max="10756" width="9.140625" hidden="1"/>
    <col min="10757" max="10757" width="19.140625" hidden="1" customWidth="1"/>
    <col min="10758" max="10761" width="9.7109375" hidden="1" customWidth="1"/>
    <col min="10762" max="10762" width="9.140625" hidden="1"/>
    <col min="10763" max="10763" width="9.7109375" hidden="1" customWidth="1"/>
    <col min="10764" max="10764" width="9.28515625" hidden="1" customWidth="1"/>
    <col min="10765" max="10765" width="9.140625" hidden="1"/>
    <col min="10766" max="10766" width="10.28515625" hidden="1" customWidth="1"/>
    <col min="10767" max="10767" width="10.5703125" hidden="1" customWidth="1"/>
    <col min="10768" max="10768" width="11.28515625" hidden="1" customWidth="1"/>
    <col min="10769" max="10769" width="10.28515625" hidden="1" customWidth="1"/>
    <col min="10770" max="11012" width="9.140625" hidden="1"/>
    <col min="11013" max="11013" width="19.140625" hidden="1" customWidth="1"/>
    <col min="11014" max="11017" width="9.7109375" hidden="1" customWidth="1"/>
    <col min="11018" max="11018" width="9.140625" hidden="1"/>
    <col min="11019" max="11019" width="9.7109375" hidden="1" customWidth="1"/>
    <col min="11020" max="11020" width="9.28515625" hidden="1" customWidth="1"/>
    <col min="11021" max="11021" width="9.140625" hidden="1"/>
    <col min="11022" max="11022" width="10.28515625" hidden="1" customWidth="1"/>
    <col min="11023" max="11023" width="10.5703125" hidden="1" customWidth="1"/>
    <col min="11024" max="11024" width="11.28515625" hidden="1" customWidth="1"/>
    <col min="11025" max="11025" width="10.28515625" hidden="1" customWidth="1"/>
    <col min="11026" max="11268" width="9.140625" hidden="1"/>
    <col min="11269" max="11269" width="19.140625" hidden="1" customWidth="1"/>
    <col min="11270" max="11273" width="9.7109375" hidden="1" customWidth="1"/>
    <col min="11274" max="11274" width="9.140625" hidden="1"/>
    <col min="11275" max="11275" width="9.7109375" hidden="1" customWidth="1"/>
    <col min="11276" max="11276" width="9.28515625" hidden="1" customWidth="1"/>
    <col min="11277" max="11277" width="9.140625" hidden="1"/>
    <col min="11278" max="11278" width="10.28515625" hidden="1" customWidth="1"/>
    <col min="11279" max="11279" width="10.5703125" hidden="1" customWidth="1"/>
    <col min="11280" max="11280" width="11.28515625" hidden="1" customWidth="1"/>
    <col min="11281" max="11281" width="10.28515625" hidden="1" customWidth="1"/>
    <col min="11282" max="11524" width="9.140625" hidden="1"/>
    <col min="11525" max="11525" width="19.140625" hidden="1" customWidth="1"/>
    <col min="11526" max="11529" width="9.7109375" hidden="1" customWidth="1"/>
    <col min="11530" max="11530" width="9.140625" hidden="1"/>
    <col min="11531" max="11531" width="9.7109375" hidden="1" customWidth="1"/>
    <col min="11532" max="11532" width="9.28515625" hidden="1" customWidth="1"/>
    <col min="11533" max="11533" width="9.140625" hidden="1"/>
    <col min="11534" max="11534" width="10.28515625" hidden="1" customWidth="1"/>
    <col min="11535" max="11535" width="10.5703125" hidden="1" customWidth="1"/>
    <col min="11536" max="11536" width="11.28515625" hidden="1" customWidth="1"/>
    <col min="11537" max="11537" width="10.28515625" hidden="1" customWidth="1"/>
    <col min="11538" max="11780" width="9.140625" hidden="1"/>
    <col min="11781" max="11781" width="19.140625" hidden="1" customWidth="1"/>
    <col min="11782" max="11785" width="9.7109375" hidden="1" customWidth="1"/>
    <col min="11786" max="11786" width="9.140625" hidden="1"/>
    <col min="11787" max="11787" width="9.7109375" hidden="1" customWidth="1"/>
    <col min="11788" max="11788" width="9.28515625" hidden="1" customWidth="1"/>
    <col min="11789" max="11789" width="9.140625" hidden="1"/>
    <col min="11790" max="11790" width="10.28515625" hidden="1" customWidth="1"/>
    <col min="11791" max="11791" width="10.5703125" hidden="1" customWidth="1"/>
    <col min="11792" max="11792" width="11.28515625" hidden="1" customWidth="1"/>
    <col min="11793" max="11793" width="10.28515625" hidden="1" customWidth="1"/>
    <col min="11794" max="12036" width="9.140625" hidden="1"/>
    <col min="12037" max="12037" width="19.140625" hidden="1" customWidth="1"/>
    <col min="12038" max="12041" width="9.7109375" hidden="1" customWidth="1"/>
    <col min="12042" max="12042" width="9.140625" hidden="1"/>
    <col min="12043" max="12043" width="9.7109375" hidden="1" customWidth="1"/>
    <col min="12044" max="12044" width="9.28515625" hidden="1" customWidth="1"/>
    <col min="12045" max="12045" width="9.140625" hidden="1"/>
    <col min="12046" max="12046" width="10.28515625" hidden="1" customWidth="1"/>
    <col min="12047" max="12047" width="10.5703125" hidden="1" customWidth="1"/>
    <col min="12048" max="12048" width="11.28515625" hidden="1" customWidth="1"/>
    <col min="12049" max="12049" width="10.28515625" hidden="1" customWidth="1"/>
    <col min="12050" max="12292" width="9.140625" hidden="1"/>
    <col min="12293" max="12293" width="19.140625" hidden="1" customWidth="1"/>
    <col min="12294" max="12297" width="9.7109375" hidden="1" customWidth="1"/>
    <col min="12298" max="12298" width="9.140625" hidden="1"/>
    <col min="12299" max="12299" width="9.7109375" hidden="1" customWidth="1"/>
    <col min="12300" max="12300" width="9.28515625" hidden="1" customWidth="1"/>
    <col min="12301" max="12301" width="9.140625" hidden="1"/>
    <col min="12302" max="12302" width="10.28515625" hidden="1" customWidth="1"/>
    <col min="12303" max="12303" width="10.5703125" hidden="1" customWidth="1"/>
    <col min="12304" max="12304" width="11.28515625" hidden="1" customWidth="1"/>
    <col min="12305" max="12305" width="10.28515625" hidden="1" customWidth="1"/>
    <col min="12306" max="12548" width="9.140625" hidden="1"/>
    <col min="12549" max="12549" width="19.140625" hidden="1" customWidth="1"/>
    <col min="12550" max="12553" width="9.7109375" hidden="1" customWidth="1"/>
    <col min="12554" max="12554" width="9.140625" hidden="1"/>
    <col min="12555" max="12555" width="9.7109375" hidden="1" customWidth="1"/>
    <col min="12556" max="12556" width="9.28515625" hidden="1" customWidth="1"/>
    <col min="12557" max="12557" width="9.140625" hidden="1"/>
    <col min="12558" max="12558" width="10.28515625" hidden="1" customWidth="1"/>
    <col min="12559" max="12559" width="10.5703125" hidden="1" customWidth="1"/>
    <col min="12560" max="12560" width="11.28515625" hidden="1" customWidth="1"/>
    <col min="12561" max="12561" width="10.28515625" hidden="1" customWidth="1"/>
    <col min="12562" max="12804" width="9.140625" hidden="1"/>
    <col min="12805" max="12805" width="19.140625" hidden="1" customWidth="1"/>
    <col min="12806" max="12809" width="9.7109375" hidden="1" customWidth="1"/>
    <col min="12810" max="12810" width="9.140625" hidden="1"/>
    <col min="12811" max="12811" width="9.7109375" hidden="1" customWidth="1"/>
    <col min="12812" max="12812" width="9.28515625" hidden="1" customWidth="1"/>
    <col min="12813" max="12813" width="9.140625" hidden="1"/>
    <col min="12814" max="12814" width="10.28515625" hidden="1" customWidth="1"/>
    <col min="12815" max="12815" width="10.5703125" hidden="1" customWidth="1"/>
    <col min="12816" max="12816" width="11.28515625" hidden="1" customWidth="1"/>
    <col min="12817" max="12817" width="10.28515625" hidden="1" customWidth="1"/>
    <col min="12818" max="13060" width="9.140625" hidden="1"/>
    <col min="13061" max="13061" width="19.140625" hidden="1" customWidth="1"/>
    <col min="13062" max="13065" width="9.7109375" hidden="1" customWidth="1"/>
    <col min="13066" max="13066" width="9.140625" hidden="1"/>
    <col min="13067" max="13067" width="9.7109375" hidden="1" customWidth="1"/>
    <col min="13068" max="13068" width="9.28515625" hidden="1" customWidth="1"/>
    <col min="13069" max="13069" width="9.140625" hidden="1"/>
    <col min="13070" max="13070" width="10.28515625" hidden="1" customWidth="1"/>
    <col min="13071" max="13071" width="10.5703125" hidden="1" customWidth="1"/>
    <col min="13072" max="13072" width="11.28515625" hidden="1" customWidth="1"/>
    <col min="13073" max="13073" width="10.28515625" hidden="1" customWidth="1"/>
    <col min="13074" max="13316" width="9.140625" hidden="1"/>
    <col min="13317" max="13317" width="19.140625" hidden="1" customWidth="1"/>
    <col min="13318" max="13321" width="9.7109375" hidden="1" customWidth="1"/>
    <col min="13322" max="13322" width="9.140625" hidden="1"/>
    <col min="13323" max="13323" width="9.7109375" hidden="1" customWidth="1"/>
    <col min="13324" max="13324" width="9.28515625" hidden="1" customWidth="1"/>
    <col min="13325" max="13325" width="9.140625" hidden="1"/>
    <col min="13326" max="13326" width="10.28515625" hidden="1" customWidth="1"/>
    <col min="13327" max="13327" width="10.5703125" hidden="1" customWidth="1"/>
    <col min="13328" max="13328" width="11.28515625" hidden="1" customWidth="1"/>
    <col min="13329" max="13329" width="10.28515625" hidden="1" customWidth="1"/>
    <col min="13330" max="13572" width="9.140625" hidden="1"/>
    <col min="13573" max="13573" width="19.140625" hidden="1" customWidth="1"/>
    <col min="13574" max="13577" width="9.7109375" hidden="1" customWidth="1"/>
    <col min="13578" max="13578" width="9.140625" hidden="1"/>
    <col min="13579" max="13579" width="9.7109375" hidden="1" customWidth="1"/>
    <col min="13580" max="13580" width="9.28515625" hidden="1" customWidth="1"/>
    <col min="13581" max="13581" width="9.140625" hidden="1"/>
    <col min="13582" max="13582" width="10.28515625" hidden="1" customWidth="1"/>
    <col min="13583" max="13583" width="10.5703125" hidden="1" customWidth="1"/>
    <col min="13584" max="13584" width="11.28515625" hidden="1" customWidth="1"/>
    <col min="13585" max="13585" width="10.28515625" hidden="1" customWidth="1"/>
    <col min="13586" max="13828" width="9.140625" hidden="1"/>
    <col min="13829" max="13829" width="19.140625" hidden="1" customWidth="1"/>
    <col min="13830" max="13833" width="9.7109375" hidden="1" customWidth="1"/>
    <col min="13834" max="13834" width="9.140625" hidden="1"/>
    <col min="13835" max="13835" width="9.7109375" hidden="1" customWidth="1"/>
    <col min="13836" max="13836" width="9.28515625" hidden="1" customWidth="1"/>
    <col min="13837" max="13837" width="9.140625" hidden="1"/>
    <col min="13838" max="13838" width="10.28515625" hidden="1" customWidth="1"/>
    <col min="13839" max="13839" width="10.5703125" hidden="1" customWidth="1"/>
    <col min="13840" max="13840" width="11.28515625" hidden="1" customWidth="1"/>
    <col min="13841" max="13841" width="10.28515625" hidden="1" customWidth="1"/>
    <col min="13842" max="14084" width="9.140625" hidden="1"/>
    <col min="14085" max="14085" width="19.140625" hidden="1" customWidth="1"/>
    <col min="14086" max="14089" width="9.7109375" hidden="1" customWidth="1"/>
    <col min="14090" max="14090" width="9.140625" hidden="1"/>
    <col min="14091" max="14091" width="9.7109375" hidden="1" customWidth="1"/>
    <col min="14092" max="14092" width="9.28515625" hidden="1" customWidth="1"/>
    <col min="14093" max="14093" width="9.140625" hidden="1"/>
    <col min="14094" max="14094" width="10.28515625" hidden="1" customWidth="1"/>
    <col min="14095" max="14095" width="10.5703125" hidden="1" customWidth="1"/>
    <col min="14096" max="14096" width="11.28515625" hidden="1" customWidth="1"/>
    <col min="14097" max="14097" width="10.28515625" hidden="1" customWidth="1"/>
    <col min="14098" max="14340" width="9.140625" hidden="1"/>
    <col min="14341" max="14341" width="19.140625" hidden="1" customWidth="1"/>
    <col min="14342" max="14345" width="9.7109375" hidden="1" customWidth="1"/>
    <col min="14346" max="14346" width="9.140625" hidden="1"/>
    <col min="14347" max="14347" width="9.7109375" hidden="1" customWidth="1"/>
    <col min="14348" max="14348" width="9.28515625" hidden="1" customWidth="1"/>
    <col min="14349" max="14349" width="9.140625" hidden="1"/>
    <col min="14350" max="14350" width="10.28515625" hidden="1" customWidth="1"/>
    <col min="14351" max="14351" width="10.5703125" hidden="1" customWidth="1"/>
    <col min="14352" max="14352" width="11.28515625" hidden="1" customWidth="1"/>
    <col min="14353" max="14353" width="10.28515625" hidden="1" customWidth="1"/>
    <col min="14354" max="14596" width="9.140625" hidden="1"/>
    <col min="14597" max="14597" width="19.140625" hidden="1" customWidth="1"/>
    <col min="14598" max="14601" width="9.7109375" hidden="1" customWidth="1"/>
    <col min="14602" max="14602" width="9.140625" hidden="1"/>
    <col min="14603" max="14603" width="9.7109375" hidden="1" customWidth="1"/>
    <col min="14604" max="14604" width="9.28515625" hidden="1" customWidth="1"/>
    <col min="14605" max="14605" width="9.140625" hidden="1"/>
    <col min="14606" max="14606" width="10.28515625" hidden="1" customWidth="1"/>
    <col min="14607" max="14607" width="10.5703125" hidden="1" customWidth="1"/>
    <col min="14608" max="14608" width="11.28515625" hidden="1" customWidth="1"/>
    <col min="14609" max="14609" width="10.28515625" hidden="1" customWidth="1"/>
    <col min="14610" max="14852" width="9.140625" hidden="1"/>
    <col min="14853" max="14853" width="19.140625" hidden="1" customWidth="1"/>
    <col min="14854" max="14857" width="9.7109375" hidden="1" customWidth="1"/>
    <col min="14858" max="14858" width="9.140625" hidden="1"/>
    <col min="14859" max="14859" width="9.7109375" hidden="1" customWidth="1"/>
    <col min="14860" max="14860" width="9.28515625" hidden="1" customWidth="1"/>
    <col min="14861" max="14861" width="9.140625" hidden="1"/>
    <col min="14862" max="14862" width="10.28515625" hidden="1" customWidth="1"/>
    <col min="14863" max="14863" width="10.5703125" hidden="1" customWidth="1"/>
    <col min="14864" max="14864" width="11.28515625" hidden="1" customWidth="1"/>
    <col min="14865" max="14865" width="10.28515625" hidden="1" customWidth="1"/>
    <col min="14866" max="15108" width="9.140625" hidden="1"/>
    <col min="15109" max="15109" width="19.140625" hidden="1" customWidth="1"/>
    <col min="15110" max="15113" width="9.7109375" hidden="1" customWidth="1"/>
    <col min="15114" max="15114" width="9.140625" hidden="1"/>
    <col min="15115" max="15115" width="9.7109375" hidden="1" customWidth="1"/>
    <col min="15116" max="15116" width="9.28515625" hidden="1" customWidth="1"/>
    <col min="15117" max="15117" width="9.140625" hidden="1"/>
    <col min="15118" max="15118" width="10.28515625" hidden="1" customWidth="1"/>
    <col min="15119" max="15119" width="10.5703125" hidden="1" customWidth="1"/>
    <col min="15120" max="15120" width="11.28515625" hidden="1" customWidth="1"/>
    <col min="15121" max="15121" width="10.28515625" hidden="1" customWidth="1"/>
    <col min="15122" max="15364" width="9.140625" hidden="1"/>
    <col min="15365" max="15365" width="19.140625" hidden="1" customWidth="1"/>
    <col min="15366" max="15369" width="9.7109375" hidden="1" customWidth="1"/>
    <col min="15370" max="15370" width="9.140625" hidden="1"/>
    <col min="15371" max="15371" width="9.7109375" hidden="1" customWidth="1"/>
    <col min="15372" max="15372" width="9.28515625" hidden="1" customWidth="1"/>
    <col min="15373" max="15373" width="9.140625" hidden="1"/>
    <col min="15374" max="15374" width="10.28515625" hidden="1" customWidth="1"/>
    <col min="15375" max="15375" width="10.5703125" hidden="1" customWidth="1"/>
    <col min="15376" max="15376" width="11.28515625" hidden="1" customWidth="1"/>
    <col min="15377" max="15377" width="10.28515625" hidden="1" customWidth="1"/>
    <col min="15378" max="15620" width="9.140625" hidden="1"/>
    <col min="15621" max="15621" width="19.140625" hidden="1" customWidth="1"/>
    <col min="15622" max="15625" width="9.7109375" hidden="1" customWidth="1"/>
    <col min="15626" max="15626" width="9.140625" hidden="1"/>
    <col min="15627" max="15627" width="9.7109375" hidden="1" customWidth="1"/>
    <col min="15628" max="15628" width="9.28515625" hidden="1" customWidth="1"/>
    <col min="15629" max="15629" width="9.140625" hidden="1"/>
    <col min="15630" max="15630" width="10.28515625" hidden="1" customWidth="1"/>
    <col min="15631" max="15631" width="10.5703125" hidden="1" customWidth="1"/>
    <col min="15632" max="15632" width="11.28515625" hidden="1" customWidth="1"/>
    <col min="15633" max="15633" width="10.28515625" hidden="1" customWidth="1"/>
    <col min="15634" max="15876" width="9.140625" hidden="1"/>
    <col min="15877" max="15877" width="19.140625" hidden="1" customWidth="1"/>
    <col min="15878" max="15881" width="9.7109375" hidden="1" customWidth="1"/>
    <col min="15882" max="15882" width="9.140625" hidden="1"/>
    <col min="15883" max="15883" width="9.7109375" hidden="1" customWidth="1"/>
    <col min="15884" max="15884" width="9.28515625" hidden="1" customWidth="1"/>
    <col min="15885" max="15885" width="9.140625" hidden="1"/>
    <col min="15886" max="15886" width="10.28515625" hidden="1" customWidth="1"/>
    <col min="15887" max="15887" width="10.5703125" hidden="1" customWidth="1"/>
    <col min="15888" max="15888" width="11.28515625" hidden="1" customWidth="1"/>
    <col min="15889" max="15889" width="10.28515625" hidden="1" customWidth="1"/>
    <col min="15890" max="16132" width="9.140625" hidden="1"/>
    <col min="16133" max="16133" width="19.140625" hidden="1" customWidth="1"/>
    <col min="16134" max="16137" width="9.7109375" hidden="1" customWidth="1"/>
    <col min="16138" max="16138" width="9.140625" hidden="1"/>
    <col min="16139" max="16139" width="9.7109375" hidden="1" customWidth="1"/>
    <col min="16140" max="16140" width="9.28515625" hidden="1" customWidth="1"/>
    <col min="16141" max="16141" width="9.140625" hidden="1"/>
    <col min="16142" max="16142" width="10.28515625" hidden="1" customWidth="1"/>
    <col min="16143" max="16143" width="10.5703125" hidden="1" customWidth="1"/>
    <col min="16144" max="16144" width="11.28515625" hidden="1" customWidth="1"/>
    <col min="16145" max="16145" width="10.28515625" hidden="1" customWidth="1"/>
    <col min="16146" max="16384" width="9.140625" hidden="1"/>
  </cols>
  <sheetData>
    <row r="1" spans="1:19">
      <c r="B1" s="4"/>
      <c r="C1" s="4"/>
      <c r="D1" s="4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4"/>
      <c r="S1" s="30"/>
    </row>
    <row r="2" spans="1:19" ht="15.75">
      <c r="B2" s="4"/>
      <c r="C2" s="7" t="s">
        <v>0</v>
      </c>
      <c r="D2" s="8" t="s">
        <v>1</v>
      </c>
      <c r="E2" s="9" t="s">
        <v>2</v>
      </c>
      <c r="F2" s="31" t="s">
        <v>3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4"/>
      <c r="S2" s="30"/>
    </row>
    <row r="3" spans="1:19" s="14" customFormat="1" ht="15" customHeight="1">
      <c r="A3" s="10"/>
      <c r="B3" s="11"/>
      <c r="C3" s="33" t="s">
        <v>4</v>
      </c>
      <c r="D3" s="34" t="s">
        <v>5</v>
      </c>
      <c r="E3" s="12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13" t="s">
        <v>18</v>
      </c>
      <c r="R3" s="11"/>
      <c r="S3" s="30"/>
    </row>
    <row r="4" spans="1:19" s="14" customFormat="1">
      <c r="A4" s="10"/>
      <c r="B4" s="11"/>
      <c r="C4" s="33"/>
      <c r="D4" s="33"/>
      <c r="E4" s="15" t="s">
        <v>19</v>
      </c>
      <c r="F4" s="16">
        <v>146</v>
      </c>
      <c r="G4" s="16">
        <v>101</v>
      </c>
      <c r="H4" s="16">
        <v>115</v>
      </c>
      <c r="I4" s="16">
        <v>87</v>
      </c>
      <c r="J4" s="16">
        <v>72</v>
      </c>
      <c r="K4" s="16">
        <v>99</v>
      </c>
      <c r="L4" s="16">
        <v>109</v>
      </c>
      <c r="M4" s="16">
        <v>123</v>
      </c>
      <c r="N4" s="16"/>
      <c r="O4" s="16"/>
      <c r="P4" s="16"/>
      <c r="Q4" s="16"/>
      <c r="R4" s="11"/>
      <c r="S4" s="30"/>
    </row>
    <row r="5" spans="1:19" s="20" customFormat="1">
      <c r="A5" s="17"/>
      <c r="B5" s="18"/>
      <c r="C5" s="33"/>
      <c r="D5" s="33"/>
      <c r="E5" s="15" t="s">
        <v>20</v>
      </c>
      <c r="F5" s="19">
        <v>142</v>
      </c>
      <c r="G5" s="19">
        <v>92</v>
      </c>
      <c r="H5" s="19">
        <v>108</v>
      </c>
      <c r="I5" s="19">
        <v>84</v>
      </c>
      <c r="J5" s="19">
        <v>62</v>
      </c>
      <c r="K5" s="19">
        <v>89</v>
      </c>
      <c r="L5" s="19">
        <v>95</v>
      </c>
      <c r="M5" s="19">
        <f>M4-14</f>
        <v>109</v>
      </c>
      <c r="N5" s="19"/>
      <c r="O5" s="19"/>
      <c r="P5" s="19"/>
      <c r="Q5" s="19"/>
      <c r="R5" s="18"/>
      <c r="S5" s="30"/>
    </row>
    <row r="6" spans="1:19" s="20" customFormat="1">
      <c r="A6" s="17"/>
      <c r="B6" s="18"/>
      <c r="C6" s="33"/>
      <c r="D6" s="33"/>
      <c r="E6" s="15" t="s">
        <v>21</v>
      </c>
      <c r="F6" s="19">
        <v>98</v>
      </c>
      <c r="G6" s="19">
        <v>61</v>
      </c>
      <c r="H6" s="19">
        <v>40</v>
      </c>
      <c r="I6" s="19">
        <v>32</v>
      </c>
      <c r="J6" s="19">
        <v>35</v>
      </c>
      <c r="K6" s="19">
        <v>79</v>
      </c>
      <c r="L6" s="19">
        <v>78</v>
      </c>
      <c r="M6" s="19">
        <v>105</v>
      </c>
      <c r="N6" s="19"/>
      <c r="O6" s="19"/>
      <c r="P6" s="19"/>
      <c r="Q6" s="19"/>
      <c r="R6" s="18"/>
      <c r="S6" s="30"/>
    </row>
    <row r="7" spans="1:19" s="20" customFormat="1">
      <c r="A7" s="17"/>
      <c r="B7" s="18"/>
      <c r="C7" s="33"/>
      <c r="D7" s="33"/>
      <c r="E7" s="15" t="s">
        <v>22</v>
      </c>
      <c r="F7" s="19">
        <v>91</v>
      </c>
      <c r="G7" s="19">
        <v>61</v>
      </c>
      <c r="H7" s="19">
        <v>37</v>
      </c>
      <c r="I7" s="19">
        <v>29</v>
      </c>
      <c r="J7" s="19">
        <v>33</v>
      </c>
      <c r="K7" s="19">
        <v>72</v>
      </c>
      <c r="L7" s="19">
        <v>66</v>
      </c>
      <c r="M7" s="19">
        <v>97</v>
      </c>
      <c r="N7" s="19"/>
      <c r="O7" s="19"/>
      <c r="P7" s="19"/>
      <c r="Q7" s="19"/>
      <c r="R7" s="18"/>
      <c r="S7" s="30"/>
    </row>
    <row r="8" spans="1:19" s="25" customFormat="1">
      <c r="A8" s="21"/>
      <c r="B8" s="22"/>
      <c r="C8" s="33"/>
      <c r="D8" s="33"/>
      <c r="E8" s="23" t="s">
        <v>23</v>
      </c>
      <c r="F8" s="24">
        <f t="shared" ref="F8:Q8" si="0">F5/F4</f>
        <v>0.9726027397260274</v>
      </c>
      <c r="G8" s="24">
        <f t="shared" si="0"/>
        <v>0.91089108910891092</v>
      </c>
      <c r="H8" s="24">
        <f t="shared" si="0"/>
        <v>0.93913043478260871</v>
      </c>
      <c r="I8" s="24">
        <f t="shared" si="0"/>
        <v>0.96551724137931039</v>
      </c>
      <c r="J8" s="24">
        <f t="shared" si="0"/>
        <v>0.86111111111111116</v>
      </c>
      <c r="K8" s="24">
        <f t="shared" si="0"/>
        <v>0.89898989898989901</v>
      </c>
      <c r="L8" s="24">
        <f t="shared" si="0"/>
        <v>0.87155963302752293</v>
      </c>
      <c r="M8" s="24">
        <f t="shared" si="0"/>
        <v>0.88617886178861793</v>
      </c>
      <c r="N8" s="24" t="e">
        <f t="shared" si="0"/>
        <v>#DIV/0!</v>
      </c>
      <c r="O8" s="24" t="e">
        <f t="shared" si="0"/>
        <v>#DIV/0!</v>
      </c>
      <c r="P8" s="24" t="e">
        <f t="shared" si="0"/>
        <v>#DIV/0!</v>
      </c>
      <c r="Q8" s="24" t="e">
        <f t="shared" si="0"/>
        <v>#DIV/0!</v>
      </c>
      <c r="R8" s="22"/>
      <c r="S8" s="30"/>
    </row>
    <row r="9" spans="1:19" s="25" customFormat="1">
      <c r="A9" s="21"/>
      <c r="B9" s="22"/>
      <c r="C9" s="33"/>
      <c r="D9" s="33"/>
      <c r="E9" s="23" t="s">
        <v>24</v>
      </c>
      <c r="F9" s="24">
        <f t="shared" ref="F9:Q9" si="1">F7/F6</f>
        <v>0.9285714285714286</v>
      </c>
      <c r="G9" s="24">
        <f t="shared" si="1"/>
        <v>1</v>
      </c>
      <c r="H9" s="24">
        <f t="shared" si="1"/>
        <v>0.92500000000000004</v>
      </c>
      <c r="I9" s="24">
        <f t="shared" si="1"/>
        <v>0.90625</v>
      </c>
      <c r="J9" s="24">
        <f t="shared" si="1"/>
        <v>0.94285714285714284</v>
      </c>
      <c r="K9" s="24">
        <f t="shared" si="1"/>
        <v>0.91139240506329111</v>
      </c>
      <c r="L9" s="24">
        <f t="shared" si="1"/>
        <v>0.84615384615384615</v>
      </c>
      <c r="M9" s="24">
        <f t="shared" si="1"/>
        <v>0.92380952380952386</v>
      </c>
      <c r="N9" s="24" t="e">
        <f t="shared" si="1"/>
        <v>#DIV/0!</v>
      </c>
      <c r="O9" s="24" t="e">
        <f t="shared" si="1"/>
        <v>#DIV/0!</v>
      </c>
      <c r="P9" s="24" t="e">
        <f t="shared" si="1"/>
        <v>#DIV/0!</v>
      </c>
      <c r="Q9" s="24" t="e">
        <f t="shared" si="1"/>
        <v>#DIV/0!</v>
      </c>
      <c r="R9" s="22"/>
      <c r="S9" s="30"/>
    </row>
    <row r="10" spans="1:19" s="25" customFormat="1">
      <c r="A10" s="21"/>
      <c r="B10" s="22"/>
      <c r="C10" s="33"/>
      <c r="D10" s="33"/>
      <c r="E10" s="23" t="s">
        <v>25</v>
      </c>
      <c r="F10" s="24">
        <f t="shared" ref="F10:Q10" si="2">(F8+F9)/2</f>
        <v>0.95058708414872806</v>
      </c>
      <c r="G10" s="24">
        <f t="shared" si="2"/>
        <v>0.95544554455445541</v>
      </c>
      <c r="H10" s="24">
        <f t="shared" si="2"/>
        <v>0.93206521739130443</v>
      </c>
      <c r="I10" s="24">
        <f t="shared" si="2"/>
        <v>0.93588362068965525</v>
      </c>
      <c r="J10" s="24">
        <f t="shared" si="2"/>
        <v>0.901984126984127</v>
      </c>
      <c r="K10" s="24">
        <f t="shared" si="2"/>
        <v>0.90519115202659506</v>
      </c>
      <c r="L10" s="24">
        <f t="shared" si="2"/>
        <v>0.85885673959068454</v>
      </c>
      <c r="M10" s="24">
        <f t="shared" si="2"/>
        <v>0.9049941927990709</v>
      </c>
      <c r="N10" s="24" t="e">
        <f t="shared" si="2"/>
        <v>#DIV/0!</v>
      </c>
      <c r="O10" s="24" t="e">
        <f t="shared" si="2"/>
        <v>#DIV/0!</v>
      </c>
      <c r="P10" s="24" t="e">
        <f t="shared" si="2"/>
        <v>#DIV/0!</v>
      </c>
      <c r="Q10" s="24" t="e">
        <f t="shared" si="2"/>
        <v>#DIV/0!</v>
      </c>
      <c r="R10" s="22"/>
      <c r="S10" s="30"/>
    </row>
    <row r="11" spans="1:19" ht="15" customHeight="1">
      <c r="B11" s="4"/>
      <c r="C11" s="4"/>
      <c r="D11" s="4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4"/>
      <c r="S11" s="30"/>
    </row>
    <row r="12" spans="1:19" ht="15" customHeight="1">
      <c r="B12" s="4"/>
      <c r="C12" s="26" t="s">
        <v>26</v>
      </c>
      <c r="D12" s="35" t="s">
        <v>27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"/>
      <c r="S12" s="30"/>
    </row>
    <row r="13" spans="1:19" ht="26.25" customHeight="1">
      <c r="B13" s="4"/>
      <c r="C13" s="27" t="s">
        <v>28</v>
      </c>
      <c r="D13" s="36" t="s">
        <v>29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4"/>
      <c r="S13" s="30"/>
    </row>
    <row r="14" spans="1:19" ht="26.25" customHeight="1">
      <c r="B14" s="4"/>
      <c r="C14" s="27" t="s">
        <v>30</v>
      </c>
      <c r="D14" s="36" t="s">
        <v>29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4"/>
      <c r="S14" s="30"/>
    </row>
    <row r="15" spans="1:19" ht="26.25" customHeight="1">
      <c r="B15" s="4"/>
      <c r="C15" s="27" t="s">
        <v>31</v>
      </c>
      <c r="D15" s="32" t="s">
        <v>29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4"/>
      <c r="S15" s="30"/>
    </row>
    <row r="16" spans="1:19" ht="26.25" customHeight="1">
      <c r="B16" s="4"/>
      <c r="C16" s="27" t="s">
        <v>32</v>
      </c>
      <c r="D16" s="32" t="s">
        <v>29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4"/>
      <c r="S16" s="30"/>
    </row>
    <row r="17" spans="2:19" ht="26.25" customHeight="1">
      <c r="B17" s="4"/>
      <c r="C17" s="27" t="s">
        <v>33</v>
      </c>
      <c r="D17" s="32" t="s">
        <v>29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4"/>
      <c r="S17" s="30"/>
    </row>
    <row r="18" spans="2:19" ht="26.25" customHeight="1">
      <c r="B18" s="4"/>
      <c r="C18" s="27" t="s">
        <v>34</v>
      </c>
      <c r="D18" s="32" t="s">
        <v>29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4"/>
      <c r="S18" s="30"/>
    </row>
    <row r="19" spans="2:19" ht="26.25" customHeight="1">
      <c r="B19" s="4"/>
      <c r="C19" s="27" t="s">
        <v>35</v>
      </c>
      <c r="D19" s="28" t="s">
        <v>29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4"/>
      <c r="S19" s="30"/>
    </row>
    <row r="20" spans="2:19" ht="26.25" customHeight="1">
      <c r="B20" s="4"/>
      <c r="C20" s="27" t="s">
        <v>36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30"/>
    </row>
    <row r="21" spans="2:19" ht="26.25" customHeight="1">
      <c r="B21" s="4"/>
      <c r="C21" s="27" t="s">
        <v>37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4"/>
      <c r="S21" s="30"/>
    </row>
    <row r="22" spans="2:19" ht="26.25" customHeight="1">
      <c r="B22" s="4"/>
      <c r="C22" s="27" t="s">
        <v>38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4"/>
      <c r="S22" s="30"/>
    </row>
    <row r="23" spans="2:19" ht="26.25" customHeight="1">
      <c r="B23" s="4"/>
      <c r="C23" s="27" t="s">
        <v>39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4"/>
      <c r="S23" s="30"/>
    </row>
    <row r="24" spans="2:19" ht="26.25" customHeight="1">
      <c r="B24" s="4"/>
      <c r="C24" s="27" t="s">
        <v>40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4"/>
      <c r="S24" s="30"/>
    </row>
    <row r="25" spans="2:19" ht="15" customHeight="1">
      <c r="B25" s="4"/>
      <c r="C25" s="4"/>
      <c r="D25" s="4"/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4"/>
      <c r="S25" s="30"/>
    </row>
  </sheetData>
  <sheetProtection algorithmName="SHA-512" hashValue="qFBKlkDwdiXtLW8KXhhkHPpgGWTMd4/w6pGqTARzAEr1S7VA0Nyl/q+jwZHmyb7ZjnNYv0AgxagXXDKZ/LtpfQ==" saltValue="i9/sT94ezsVuGzjDnTYiHA==" spinCount="100000" sheet="1" objects="1" scenarios="1"/>
  <mergeCells count="17">
    <mergeCell ref="C3:C10"/>
    <mergeCell ref="D3:D10"/>
    <mergeCell ref="D12:Q12"/>
    <mergeCell ref="D13:Q13"/>
    <mergeCell ref="D14:Q14"/>
    <mergeCell ref="D22:Q22"/>
    <mergeCell ref="D23:Q23"/>
    <mergeCell ref="D24:Q24"/>
    <mergeCell ref="S1:S25"/>
    <mergeCell ref="F2:Q2"/>
    <mergeCell ref="D15:Q15"/>
    <mergeCell ref="D16:Q16"/>
    <mergeCell ref="D17:Q17"/>
    <mergeCell ref="D18:Q18"/>
    <mergeCell ref="D19:Q19"/>
    <mergeCell ref="D20:Q20"/>
    <mergeCell ref="D21:Q2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665A30329B3948B900B5D2622C9D6B" ma:contentTypeVersion="17" ma:contentTypeDescription="Criar um novo documento." ma:contentTypeScope="" ma:versionID="64633014b3912eb26cd8669b81d9ea3a">
  <xsd:schema xmlns:xsd="http://www.w3.org/2001/XMLSchema" xmlns:xs="http://www.w3.org/2001/XMLSchema" xmlns:p="http://schemas.microsoft.com/office/2006/metadata/properties" xmlns:ns2="483d42cc-9d03-42bd-bd28-a5d9c2be3306" xmlns:ns3="f6064642-ad38-4ca5-b2fe-a6757f19c2a2" targetNamespace="http://schemas.microsoft.com/office/2006/metadata/properties" ma:root="true" ma:fieldsID="6104d0614175e96be36bf84e9137a1fb" ns2:_="" ns3:_="">
    <xsd:import namespace="483d42cc-9d03-42bd-bd28-a5d9c2be3306"/>
    <xsd:import namespace="f6064642-ad38-4ca5-b2fe-a6757f19c2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3d42cc-9d03-42bd-bd28-a5d9c2be3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8f40964-7409-4f20-9b58-06660137aa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64642-ad38-4ca5-b2fe-a6757f19c2a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eb5cdb1-4f7c-4b0e-9ea0-ee2e98b9c687}" ma:internalName="TaxCatchAll" ma:showField="CatchAllData" ma:web="f6064642-ad38-4ca5-b2fe-a6757f19c2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064642-ad38-4ca5-b2fe-a6757f19c2a2" xsi:nil="true"/>
    <lcf76f155ced4ddcb4097134ff3c332f xmlns="483d42cc-9d03-42bd-bd28-a5d9c2be330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7F1284-3C58-415D-8305-A307D102F7AE}"/>
</file>

<file path=customXml/itemProps2.xml><?xml version="1.0" encoding="utf-8"?>
<ds:datastoreItem xmlns:ds="http://schemas.openxmlformats.org/officeDocument/2006/customXml" ds:itemID="{66E1BA49-7C91-44E9-ABF9-E7B98D23F0E7}"/>
</file>

<file path=customXml/itemProps3.xml><?xml version="1.0" encoding="utf-8"?>
<ds:datastoreItem xmlns:ds="http://schemas.openxmlformats.org/officeDocument/2006/customXml" ds:itemID="{FD9D97FA-BA4B-4C9F-9623-10516888A7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Amanda - Qualidade (Sinergia Agro)</cp:lastModifiedBy>
  <cp:revision>2</cp:revision>
  <dcterms:created xsi:type="dcterms:W3CDTF">2018-09-27T14:20:54Z</dcterms:created>
  <dcterms:modified xsi:type="dcterms:W3CDTF">2026-09-09T10:43:28Z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0x01010034665A30329B3948B900B5D2622C9D6B</vt:lpwstr>
  </property>
  <property fmtid="{D5CDD505-2E9C-101B-9397-08002B2CF9AE}" pid="3" name="MediaServiceImageTags">
    <vt:lpwstr/>
  </property>
</Properties>
</file>